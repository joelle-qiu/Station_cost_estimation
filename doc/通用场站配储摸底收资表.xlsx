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请先看" sheetId="1" state="visible" r:id="rId1"/>
    <sheet xmlns:r="http://schemas.openxmlformats.org/officeDocument/2006/relationships" name="1-公司概况" sheetId="2" state="visible" r:id="rId2"/>
    <sheet xmlns:r="http://schemas.openxmlformats.org/officeDocument/2006/relationships" name="2-资源清单" sheetId="3" state="visible" r:id="rId3"/>
    <sheet xmlns:r="http://schemas.openxmlformats.org/officeDocument/2006/relationships" name="3-内部评估" sheetId="4" state="visible" r:id="rId4"/>
    <sheet xmlns:r="http://schemas.openxmlformats.org/officeDocument/2006/relationships" name="4-字段说明" sheetId="5" state="visible" r:id="rId5"/>
  </sheets>
  <definedNames>
    <definedName name="_xlnm._FilterDatabase" localSheetId="2" hidden="1">'2-资源清单'!$A$3:$AD$200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  <sz val="11"/>
    </font>
    <font>
      <name val="微软雅黑"/>
      <color rgb="001E293B"/>
      <sz val="10"/>
    </font>
    <font>
      <name val="微软雅黑"/>
      <b val="1"/>
      <color rgb="00FFFFFF"/>
      <sz val="10"/>
    </font>
    <font>
      <name val="微软雅黑"/>
      <color rgb="00475569"/>
      <sz val="9"/>
    </font>
    <font>
      <name val="微软雅黑"/>
      <color rgb="00475569"/>
      <sz val="8"/>
    </font>
    <font>
      <name val="微软雅黑"/>
      <b val="1"/>
      <color rgb="00FFFFFF"/>
      <sz val="14"/>
    </font>
    <font>
      <name val="微软雅黑"/>
      <b val="1"/>
      <color rgb="001E293B"/>
      <sz val="10"/>
    </font>
    <font>
      <name val="微软雅黑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000A3D6B"/>
      </patternFill>
    </fill>
    <fill>
      <patternFill patternType="solid">
        <fgColor rgb="001E4A73"/>
      </patternFill>
    </fill>
    <fill>
      <patternFill patternType="solid">
        <fgColor rgb="00F4F6F9"/>
      </patternFill>
    </fill>
    <fill>
      <patternFill patternType="solid">
        <fgColor rgb="00E8EEF5"/>
      </patternFill>
    </fill>
    <fill>
      <patternFill patternType="solid">
        <fgColor rgb="001A6B4A"/>
      </patternFill>
    </fill>
    <fill>
      <patternFill patternType="solid">
        <fgColor rgb="00E3F4EA"/>
      </patternFill>
    </fill>
    <fill>
      <patternFill patternType="solid">
        <fgColor rgb="00FFF4C4"/>
      </patternFill>
    </fill>
    <fill>
      <patternFill patternType="solid">
        <fgColor rgb="0064748B"/>
      </patternFill>
    </fill>
    <fill>
      <patternFill patternType="solid">
        <fgColor rgb="00E2E8F0"/>
      </patternFill>
    </fill>
    <fill>
      <patternFill patternType="solid">
        <fgColor rgb="00D5EADF"/>
      </patternFill>
    </fill>
    <fill>
      <patternFill patternType="solid">
        <fgColor rgb="00F1F5F9"/>
      </patternFill>
    </fill>
    <fill>
      <patternFill patternType="solid">
        <fgColor rgb="00C8EBD8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A6B4A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6" borderId="0" pivotButton="0" quotePrefix="0" xfId="0"/>
    <xf numFmtId="0" fontId="3" fillId="7" borderId="0" applyAlignment="1" pivotButton="0" quotePrefix="0" xfId="0">
      <alignment vertical="center" wrapText="1"/>
    </xf>
    <xf numFmtId="0" fontId="0" fillId="4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0" fillId="3" borderId="1" pivotButton="0" quotePrefix="0" xfId="0"/>
    <xf numFmtId="0" fontId="4" fillId="6" borderId="2" applyAlignment="1" pivotButton="0" quotePrefix="0" xfId="0">
      <alignment vertical="center" wrapText="1"/>
    </xf>
    <xf numFmtId="0" fontId="0" fillId="6" borderId="1" pivotButton="0" quotePrefix="0" xfId="0"/>
    <xf numFmtId="0" fontId="4" fillId="9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vertical="center" wrapText="1"/>
    </xf>
    <xf numFmtId="0" fontId="5" fillId="11" borderId="2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0" fontId="5" fillId="12" borderId="1" applyAlignment="1" pivotButton="0" quotePrefix="0" xfId="0">
      <alignment vertical="center" wrapText="1"/>
    </xf>
    <xf numFmtId="0" fontId="0" fillId="8" borderId="1" pivotButton="0" quotePrefix="0" xfId="0"/>
    <xf numFmtId="0" fontId="0" fillId="13" borderId="2" pivotButton="0" quotePrefix="0" xfId="0"/>
    <xf numFmtId="0" fontId="0" fillId="13" borderId="1" pivotButton="0" quotePrefix="0" xfId="0"/>
    <xf numFmtId="0" fontId="0" fillId="12" borderId="1" pivotButton="0" quotePrefix="0" xfId="0"/>
    <xf numFmtId="0" fontId="7" fillId="2" borderId="0" pivotButton="0" quotePrefix="0" xfId="0"/>
    <xf numFmtId="0" fontId="0" fillId="4" borderId="0" applyAlignment="1" pivotButton="0" quotePrefix="0" xfId="0">
      <alignment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8" fillId="14" borderId="1" pivotButton="0" quotePrefix="0" xfId="0"/>
    <xf numFmtId="0" fontId="0" fillId="14" borderId="1" pivotButton="0" quotePrefix="0" xfId="0"/>
    <xf numFmtId="0" fontId="4" fillId="3" borderId="0" pivotButton="0" quotePrefix="0" xfId="0"/>
    <xf numFmtId="0" fontId="9" fillId="3" borderId="0" pivotButton="0" quotePrefix="0" xfId="0"/>
    <xf numFmtId="0" fontId="9" fillId="6" borderId="0" pivotButton="0" quotePrefix="0" xfId="0"/>
    <xf numFmtId="0" fontId="9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8" customHeight="1">
      <c r="A1" s="1" t="inlineStr">
        <is>
          <t>场站资源摸底收资表</t>
        </is>
      </c>
    </row>
    <row r="3">
      <c r="A3" s="2" t="inlineStr">
        <is>
          <t>这张表做什么</t>
        </is>
      </c>
    </row>
    <row r="4" ht="64" customHeight="1">
      <c r="A4" s="3" t="inlineStr">
        <is>
          <t>请把各场站的基本情况填在同一张表里。我们用来做两件事：看哪些站可以参加虚拟电厂，以及看哪些站值得进一步评估是否配置储能。您不必填写电价和投资回报，现在也不必上传用电曲线。</t>
        </is>
      </c>
    </row>
    <row r="5">
      <c r="A5" s="2" t="inlineStr">
        <is>
          <t>请填哪几页</t>
        </is>
      </c>
    </row>
    <row r="6" ht="64" customHeight="1">
      <c r="A6" s="3" t="inlineStr">
        <is>
          <t>请填写「1-公司概况」和「2-资源清单」。其余工作表由我们内部使用，不用填、也不用发给其他人。</t>
        </is>
      </c>
    </row>
    <row r="7">
      <c r="A7" s="2" t="inlineStr">
        <is>
          <t>「2-资源清单」怎么填</t>
        </is>
      </c>
    </row>
    <row r="8" ht="64" customHeight="1">
      <c r="A8" s="3" t="inlineStr">
        <is>
          <t>一行只写一个场站，不要把全市设备加总写在一行。没有的设备在对应格子填 0。充电站、工厂、园区都用这一页；没有充电桩也可以填，把充电相关格子填 0 即可。表头下一行是填法说明，可对照填写。</t>
        </is>
      </c>
    </row>
    <row r="9">
      <c r="A9" s="2" t="inlineStr">
        <is>
          <t>蓝色列填写什么</t>
        </is>
      </c>
    </row>
    <row r="10" ht="64" customHeight="1">
      <c r="A10" s="4" t="inlineStr">
        <is>
          <t>请按场站填写充电桩、储能、光伏、厂区其他可调负荷的容量，以及电费户号、是否单独立户、这一站能不能远程调控。换电仓、柴油发电机、充电桩型也在蓝列：问的是能不能远程调度，不是有没有这些设备。</t>
        </is>
      </c>
    </row>
    <row r="11">
      <c r="A11" s="5" t="inlineStr">
        <is>
          <t>绿色列填写什么</t>
        </is>
      </c>
    </row>
    <row r="12" ht="64" customHeight="1">
      <c r="A12" s="6" t="inlineStr">
        <is>
          <t>请填写变压器容量、每天用电或充电量、场地能不能放置储能柜、以及现在如何购电。纯充电站把「白天压不下去的负荷」填 0。绿色列不问设备能不能调控。</t>
        </is>
      </c>
    </row>
    <row r="13">
      <c r="A13" s="2" t="inlineStr">
        <is>
          <t>您不用填写的内容</t>
        </is>
      </c>
    </row>
    <row r="14" ht="64" customHeight="1">
      <c r="A14" s="3" t="inlineStr">
        <is>
          <t>不用填电网节点编号、峰谷电价、投资回收期。地址和户号填写后，由我们内部核对。如果后续需要用电曲线，我们会再向需要评估储能的场站单独索取。</t>
        </is>
      </c>
    </row>
  </sheetData>
  <mergeCells count="13">
    <mergeCell ref="A4:B4"/>
    <mergeCell ref="A7:B7"/>
    <mergeCell ref="A11:B11"/>
    <mergeCell ref="A10:B10"/>
    <mergeCell ref="A5:B5"/>
    <mergeCell ref="A13:B13"/>
    <mergeCell ref="A14:B14"/>
    <mergeCell ref="A1:B1"/>
    <mergeCell ref="A9:B9"/>
    <mergeCell ref="A8:B8"/>
    <mergeCell ref="A3:B3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42" customWidth="1" min="3" max="3"/>
    <col width="48" customWidth="1" min="4" max="4"/>
  </cols>
  <sheetData>
    <row r="1">
      <c r="A1" s="1" t="inlineStr">
        <is>
          <t>1 公司概况（约2分钟）</t>
        </is>
      </c>
    </row>
    <row r="2">
      <c r="A2" s="7" t="inlineStr">
        <is>
          <t>黄色格子填写或下拉。充电网络、产业园、工厂都可以填。没有充电桩也请写明（清单里对应格子填 0）。资源规模请按充电、储能、光伏、厂区分开写，不要只写一个总数。</t>
        </is>
      </c>
    </row>
    <row r="3">
      <c r="A3" s="8" t="inlineStr">
        <is>
          <t>序号</t>
        </is>
      </c>
      <c r="B3" s="8" t="inlineStr">
        <is>
          <t>问题</t>
        </is>
      </c>
      <c r="C3" s="8" t="inlineStr">
        <is>
          <t>请填写</t>
        </is>
      </c>
      <c r="D3" s="8" t="inlineStr">
        <is>
          <t>说明</t>
        </is>
      </c>
    </row>
    <row r="4" ht="28" customHeight="1">
      <c r="A4" s="9" t="n">
        <v>1</v>
      </c>
      <c r="B4" s="10" t="inlineStr">
        <is>
          <t>公司名称</t>
        </is>
      </c>
      <c r="C4" s="11" t="n"/>
      <c r="D4" s="12" t="inlineStr">
        <is>
          <t>营业执照名称即可</t>
        </is>
      </c>
    </row>
    <row r="5" ht="28" customHeight="1">
      <c r="A5" s="9" t="n">
        <v>2</v>
      </c>
      <c r="B5" s="10" t="inlineStr">
        <is>
          <t>联系人 / 电话</t>
        </is>
      </c>
      <c r="C5" s="11" t="n"/>
      <c r="D5" s="12" t="inlineStr">
        <is>
          <t>商务 + 运维一人即可</t>
        </is>
      </c>
    </row>
    <row r="6" ht="28" customHeight="1">
      <c r="A6" s="9" t="n">
        <v>3</v>
      </c>
      <c r="B6" s="10" t="inlineStr">
        <is>
          <t>资产类型</t>
        </is>
      </c>
      <c r="C6" s="11" t="n"/>
      <c r="D6" s="12" t="inlineStr">
        <is>
          <t>充电网络 / 厂区或园区 / 两者都有</t>
        </is>
      </c>
    </row>
    <row r="7" ht="28" customHeight="1">
      <c r="A7" s="9" t="n">
        <v>4</v>
      </c>
      <c r="B7" s="10" t="inlineStr">
        <is>
          <t>各类资源大约多少</t>
        </is>
      </c>
      <c r="C7" s="11" t="n"/>
      <c r="D7" s="12" t="inlineStr">
        <is>
          <t>例：充电 8MW / 储能 2MW·4MWh / 光伏 0.5MWp / 厂区可调 1MW</t>
        </is>
      </c>
    </row>
    <row r="8" ht="28" customHeight="1">
      <c r="A8" s="9" t="n">
        <v>5</v>
      </c>
      <c r="B8" s="10" t="inlineStr">
        <is>
          <t>主要在哪几个省、市</t>
        </is>
      </c>
      <c r="C8" s="11" t="n"/>
      <c r="D8" s="12" t="inlineStr">
        <is>
          <t>例：辽宁沈阳、广东深圳。深圳必须单独标</t>
        </is>
      </c>
    </row>
    <row r="9" ht="28" customHeight="1">
      <c r="A9" s="9" t="n">
        <v>6</v>
      </c>
      <c r="B9" s="10" t="inlineStr">
        <is>
          <t>现在电费跟哪家售电公司签</t>
        </is>
      </c>
      <c r="C9" s="11" t="n"/>
      <c r="D9" s="12" t="inlineStr">
        <is>
          <t>没有就填「没有」</t>
        </is>
      </c>
    </row>
    <row r="10" ht="28" customHeight="1">
      <c r="A10" s="9" t="n">
        <v>7</v>
      </c>
      <c r="B10" s="10" t="inlineStr">
        <is>
          <t>有没有签过虚拟电厂 / 需求响应</t>
        </is>
      </c>
      <c r="C10" s="11" t="n"/>
      <c r="D10" s="12" t="inlineStr">
        <is>
          <t>含国网综能、南网电动、深电能、绿色国网</t>
        </is>
      </c>
    </row>
    <row r="11" ht="28" customHeight="1">
      <c r="A11" s="9" t="n">
        <v>8</v>
      </c>
      <c r="B11" s="10" t="inlineStr">
        <is>
          <t>公司整体是否具备远程调控能力</t>
        </is>
      </c>
      <c r="C11" s="11" t="n"/>
      <c r="D11" s="12" t="inlineStr">
        <is>
          <t>这里只填公司整体情况。每一站能控多少千瓦，请到「2-资源清单」分站填写。</t>
        </is>
      </c>
    </row>
    <row r="12" ht="28" customHeight="1">
      <c r="A12" s="9" t="n">
        <v>9</v>
      </c>
      <c r="B12" s="10" t="inlineStr">
        <is>
          <t>深圳站能否配合安装加密网关</t>
        </is>
      </c>
      <c r="C12" s="11" t="n"/>
      <c r="D12" s="12" t="inlineStr">
        <is>
          <t>没有深圳站选「不适用」</t>
        </is>
      </c>
    </row>
    <row r="13" ht="28" customHeight="1">
      <c r="A13" s="9" t="n">
        <v>10</v>
      </c>
      <c r="B13" s="10" t="inlineStr">
        <is>
          <t>是否已在「绿色国网」申报过</t>
        </is>
      </c>
      <c r="C13" s="11" t="n"/>
      <c r="D13" s="12" t="inlineStr">
        <is>
          <t>仅辽宁需求响应用；不是辽宁选「不适用」</t>
        </is>
      </c>
    </row>
    <row r="14" ht="28" customHeight="1">
      <c r="A14" s="9" t="n">
        <v>11</v>
      </c>
      <c r="B14" s="10" t="inlineStr">
        <is>
          <t>自有平台能否导出功率曲线</t>
        </is>
      </c>
      <c r="C14" s="11" t="n"/>
      <c r="D14" s="12" t="inlineStr">
        <is>
          <t>现在不用上传。如需曲线我们会再联系。</t>
        </is>
      </c>
    </row>
  </sheetData>
  <mergeCells count="2">
    <mergeCell ref="A1:D1"/>
    <mergeCell ref="A2:D2"/>
  </mergeCells>
  <dataValidations count="6">
    <dataValidation sqref="C6" showDropDown="0" showInputMessage="1" showErrorMessage="1" allowBlank="1" errorTitle="请从下拉选" error="请从下拉列表选择。" promptTitle="资产" prompt="可先选一类" type="list">
      <formula1>"充电网络,厂区或园区,两者都有"</formula1>
    </dataValidation>
    <dataValidation sqref="C10" showDropDown="0" showInputMessage="1" showErrorMessage="1" allowBlank="1" errorTitle="请从下拉选" error="请从下拉列表选择。" promptTitle="绑定" prompt="合同期内原则上一家 VPP" type="list">
      <formula1>"没有,有（未到期）,有（快到期）,不确定"</formula1>
    </dataValidation>
    <dataValidation sqref="C11" showDropDown="0" showInputMessage="1" showErrorMessage="1" allowBlank="1" errorTitle="请从下拉选" error="请从下拉列表选择。" promptTitle="调控" prompt="公司整体情况；分站千瓦请填第 2 页" type="list">
      <formula1>"都能,仅储能,仅充电,部分能,都不能,不确定"</formula1>
    </dataValidation>
    <dataValidation sqref="C12" showDropDown="0" showInputMessage="1" showErrorMessage="1" allowBlank="1" errorTitle="请从下拉选" error="请从下拉列表选择。" promptTitle="网关" prompt="深圳精准响应四步" type="list">
      <formula1>"可以,需评估,不可以,不适用（无深圳站）,不确定"</formula1>
    </dataValidation>
    <dataValidation sqref="C13" showDropDown="0" showInputMessage="1" showErrorMessage="1" allowBlank="1" errorTitle="请从下拉选" error="请从下拉列表选择。" promptTitle="绿色国网" prompt="辽宁 181 号" type="list">
      <formula1>"已申报,没有,不适用,不确定"</formula1>
    </dataValidation>
    <dataValidation sqref="C14" showDropDown="0" showInputMessage="1" showErrorMessage="1" allowBlank="1" errorTitle="请从下拉选" error="请从下拉列表选择。" promptTitle="曲线" prompt="现在不用上传" type="list">
      <formula1>"能,否,需对接,不确定"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" customWidth="1" min="18" max="18"/>
    <col width="12" customWidth="1" min="19" max="19"/>
    <col width="16" customWidth="1" min="20" max="20"/>
    <col width="12" customWidth="1" min="21" max="21"/>
    <col width="12" customWidth="1" min="22" max="22"/>
    <col width="18" customWidth="1" min="23" max="23"/>
    <col width="12" customWidth="1" min="24" max="24"/>
    <col width="16" customWidth="1" min="25" max="25"/>
    <col width="16" customWidth="1" min="26" max="26"/>
    <col width="14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2 资源清单（一行只写一个场站）  蓝色列：装了什么、户号、能不能调度    绿色列：变压器、电量、场地、如何购电</t>
        </is>
      </c>
    </row>
    <row r="2" ht="36" customHeight="1">
      <c r="A2" s="9" t="inlineStr">
        <is>
          <t>① 蓝色列：请填写本站装了什么、电费户号、能不能远程调度。没有的设备填 0。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4" t="inlineStr">
        <is>
          <t>② 绿色列：请填写变压器、每天用电或充电量、场地能不能放储能柜、如何购电。不问能不能调控。纯充电站把「白天压不下去的负荷」填 0。</t>
        </is>
      </c>
      <c r="X2" s="15" t="n"/>
      <c r="Y2" s="15" t="n"/>
      <c r="Z2" s="15" t="n"/>
      <c r="AA2" s="15" t="n"/>
      <c r="AB2" s="15" t="n"/>
      <c r="AC2" s="15" t="n"/>
      <c r="AD2" s="16" t="inlineStr">
        <is>
          <t>共用</t>
        </is>
      </c>
    </row>
    <row r="3" ht="40" customHeight="1">
      <c r="A3" s="8" t="inlineStr">
        <is>
          <t>场站名称</t>
        </is>
      </c>
      <c r="B3" s="8" t="inlineStr">
        <is>
          <t>省</t>
        </is>
      </c>
      <c r="C3" s="8" t="inlineStr">
        <is>
          <t>市</t>
        </is>
      </c>
      <c r="D3" s="8" t="inlineStr">
        <is>
          <t>区县+地址</t>
        </is>
      </c>
      <c r="E3" s="8" t="inlineStr">
        <is>
          <t>资源类型</t>
        </is>
      </c>
      <c r="F3" s="8" t="inlineStr">
        <is>
          <t>充电kW</t>
        </is>
      </c>
      <c r="G3" s="8" t="inlineStr">
        <is>
          <t>储能功率kW</t>
        </is>
      </c>
      <c r="H3" s="8" t="inlineStr">
        <is>
          <t>储能kWh</t>
        </is>
      </c>
      <c r="I3" s="8" t="inlineStr">
        <is>
          <t>光伏kWp</t>
        </is>
      </c>
      <c r="J3" s="8" t="inlineStr">
        <is>
          <t>厂区其他可调（千瓦）</t>
        </is>
      </c>
      <c r="K3" s="8" t="inlineStr">
        <is>
          <t>一次可调控时长（小时）</t>
        </is>
      </c>
      <c r="L3" s="8" t="inlineStr">
        <is>
          <t>电费户号</t>
        </is>
      </c>
      <c r="M3" s="8" t="inlineStr">
        <is>
          <t>独立户号?</t>
        </is>
      </c>
      <c r="N3" s="8" t="inlineStr">
        <is>
          <t>能调控?</t>
        </is>
      </c>
      <c r="O3" s="8" t="inlineStr">
        <is>
          <t>用电性质</t>
        </is>
      </c>
      <c r="P3" s="8" t="inlineStr">
        <is>
          <t>加密网关?</t>
        </is>
      </c>
      <c r="Q3" s="8" t="inlineStr">
        <is>
          <t>充电桩型</t>
        </is>
      </c>
      <c r="R3" s="8" t="inlineStr">
        <is>
          <t>充电桩可远程限功率（千瓦）</t>
        </is>
      </c>
      <c r="S3" s="8" t="inlineStr">
        <is>
          <t>V2G可调kW</t>
        </is>
      </c>
      <c r="T3" s="8" t="inlineStr">
        <is>
          <t>换电仓功率能否远程下调</t>
        </is>
      </c>
      <c r="U3" s="8" t="inlineStr">
        <is>
          <t>柴发</t>
        </is>
      </c>
      <c r="V3" s="8" t="inlineStr">
        <is>
          <t>光伏可限发kW</t>
        </is>
      </c>
      <c r="W3" s="17" t="inlineStr">
        <is>
          <t>白天压不下去的负荷（千瓦）</t>
        </is>
      </c>
      <c r="X3" s="18" t="inlineStr">
        <is>
          <t>变压器额定kVA</t>
        </is>
      </c>
      <c r="Y3" s="18" t="inlineStr">
        <is>
          <t>变压器还能再接（千伏安）</t>
        </is>
      </c>
      <c r="Z3" s="18" t="inlineStr">
        <is>
          <t>电费合同需量（千瓦）</t>
        </is>
      </c>
      <c r="AA3" s="18" t="inlineStr">
        <is>
          <t>日均用电或充电量kWh</t>
        </is>
      </c>
      <c r="AB3" s="18" t="inlineStr">
        <is>
          <t>场地能否放储能柜</t>
        </is>
      </c>
      <c r="AC3" s="18" t="inlineStr">
        <is>
          <t>购电方式</t>
        </is>
      </c>
      <c r="AD3" s="16" t="inlineStr">
        <is>
          <t>备注</t>
        </is>
      </c>
    </row>
    <row r="4" ht="56" customHeight="1">
      <c r="A4" s="19" t="inlineStr">
        <is>
          <t>请勿填写本行，下面从示例之后开始填</t>
        </is>
      </c>
      <c r="B4" s="19" t="inlineStr">
        <is>
          <t>与电费单一致</t>
        </is>
      </c>
      <c r="C4" s="19" t="inlineStr">
        <is>
          <t>深圳必须单独写市</t>
        </is>
      </c>
      <c r="D4" s="19" t="inlineStr">
        <is>
          <t>能找到这个站即可</t>
        </is>
      </c>
      <c r="E4" s="19" t="inlineStr">
        <is>
          <t>下拉。无桩厂区选「厂区负荷」或「可调负荷」</t>
        </is>
      </c>
      <c r="F4" s="19" t="inlineStr">
        <is>
          <t>本站充电桩额定合计。没有桩填 0</t>
        </is>
      </c>
      <c r="G4" s="19" t="inlineStr">
        <is>
          <t>已装储能的功率。没有填 0</t>
        </is>
      </c>
      <c r="H4" s="19" t="inlineStr">
        <is>
          <t>已装储能的容量。没有填 0</t>
        </is>
      </c>
      <c r="I4" s="19" t="inlineStr">
        <is>
          <t>没有填 0</t>
        </is>
      </c>
      <c r="J4" s="19" t="inlineStr">
        <is>
          <t>空调、产线等，不要把充电桩算进来。没有填 0</t>
        </is>
      </c>
      <c r="K4" s="19" t="inlineStr">
        <is>
          <t>一次降负荷大概能维持多久，不是电池能用几年</t>
        </is>
      </c>
      <c r="L4" s="19" t="inlineStr">
        <is>
          <t>电费发票上的营销户号，不是充电 App 桩号</t>
        </is>
      </c>
      <c r="M4" s="19" t="inlineStr">
        <is>
          <t>是否单独和电网结算。和物业合用一块表选「合表」</t>
        </is>
      </c>
      <c r="N4" s="19" t="inlineStr">
        <is>
          <t>这一站能不能远程调节。公司整体情况请填第 1 页</t>
        </is>
      </c>
      <c r="O4" s="19" t="inlineStr">
        <is>
          <t>充电站选「充电设施」，不要选「非工业」。工厂选「工业」，商场选「商业」</t>
        </is>
      </c>
      <c r="P4" s="19" t="inlineStr">
        <is>
          <t>仅深圳站填已装或未装，其他城市选「不适用」</t>
        </is>
      </c>
      <c r="Q4" s="19" t="inlineStr">
        <is>
          <t>无桩选「不适用」</t>
        </is>
      </c>
      <c r="R4" s="19" t="inlineStr">
        <is>
          <t>能远程把功率降下来的桩有多少千瓦。不能控填 0</t>
        </is>
      </c>
      <c r="S4" s="19" t="inlineStr">
        <is>
          <t>车辆能向电网放电的功率。没有填 0</t>
        </is>
      </c>
      <c r="T4" s="19" t="inlineStr">
        <is>
          <t>问功率能不能远程往下调。没有换电站选「不适用」</t>
        </is>
      </c>
      <c r="U4" s="19" t="inlineStr">
        <is>
          <t>问能不能调度。没有柴油发电机选「无」</t>
        </is>
      </c>
      <c r="V4" s="19" t="inlineStr">
        <is>
          <t>能远程限制发出功率的千瓦。不能调填 0</t>
        </is>
      </c>
      <c r="W4" s="20" t="inlineStr">
        <is>
          <t>白天一直在用、减不掉的电。纯充电站填 0。不是「能调多少」</t>
        </is>
      </c>
      <c r="X4" s="21" t="inlineStr">
        <is>
          <t>变压器铭牌容量</t>
        </is>
      </c>
      <c r="Y4" s="21" t="inlineStr">
        <is>
          <t>变压器还能再接多少设备。不清楚可空着</t>
        </is>
      </c>
      <c r="Z4" s="21" t="inlineStr">
        <is>
          <t>电费合同里约定的需量。没有这项填 0</t>
        </is>
      </c>
      <c r="AA4" s="21" t="inlineStr">
        <is>
          <t>近月日均。充电站填充电量，厂区填用电量</t>
        </is>
      </c>
      <c r="AB4" s="21" t="inlineStr">
        <is>
          <t>柜子大约一个集装箱大小。放不下选「否」</t>
        </is>
      </c>
      <c r="AC4" s="21" t="inlineStr">
        <is>
          <t>还在电网买电选「电网代理购电」；已找售电公司或直接入市选另一项</t>
        </is>
      </c>
      <c r="AD4" s="22" t="inlineStr">
        <is>
          <t>选填</t>
        </is>
      </c>
    </row>
    <row r="5">
      <c r="A5" s="23" t="inlineStr">
        <is>
          <t>示例：浑南充电站</t>
        </is>
      </c>
      <c r="B5" s="23" t="inlineStr">
        <is>
          <t>辽宁</t>
        </is>
      </c>
      <c r="C5" s="23" t="inlineStr">
        <is>
          <t>沈阳</t>
        </is>
      </c>
      <c r="D5" s="23" t="inlineStr">
        <is>
          <t>浑南区xx路</t>
        </is>
      </c>
      <c r="E5" s="23" t="inlineStr">
        <is>
          <t>纯充电</t>
        </is>
      </c>
      <c r="F5" s="23" t="n">
        <v>1200</v>
      </c>
      <c r="G5" s="23" t="n">
        <v>0</v>
      </c>
      <c r="H5" s="23" t="n">
        <v>0</v>
      </c>
      <c r="I5" s="23" t="n">
        <v>0</v>
      </c>
      <c r="J5" s="23" t="n">
        <v>0</v>
      </c>
      <c r="K5" s="23" t="inlineStr">
        <is>
          <t>2</t>
        </is>
      </c>
      <c r="L5" s="23" t="inlineStr">
        <is>
          <t>21xxxxxxxxxx</t>
        </is>
      </c>
      <c r="M5" s="23" t="inlineStr">
        <is>
          <t>独立</t>
        </is>
      </c>
      <c r="N5" s="23" t="inlineStr">
        <is>
          <t>能</t>
        </is>
      </c>
      <c r="O5" s="23" t="inlineStr">
        <is>
          <t>充电设施</t>
        </is>
      </c>
      <c r="P5" s="23" t="inlineStr">
        <is>
          <t>不适用</t>
        </is>
      </c>
      <c r="Q5" s="23" t="inlineStr">
        <is>
          <t>分体式</t>
        </is>
      </c>
      <c r="R5" s="23" t="n">
        <v>600</v>
      </c>
      <c r="S5" s="23" t="n">
        <v>0</v>
      </c>
      <c r="T5" s="23" t="inlineStr">
        <is>
          <t>不适用</t>
        </is>
      </c>
      <c r="U5" s="23" t="inlineStr">
        <is>
          <t>无</t>
        </is>
      </c>
      <c r="V5" s="23" t="n">
        <v>0</v>
      </c>
      <c r="W5" s="24" t="n">
        <v>0</v>
      </c>
      <c r="X5" s="25" t="n">
        <v>4000</v>
      </c>
      <c r="Y5" s="25" t="n">
        <v>200</v>
      </c>
      <c r="Z5" s="25" t="n">
        <v>0</v>
      </c>
      <c r="AA5" s="25" t="n">
        <v>4000</v>
      </c>
      <c r="AB5" s="25" t="inlineStr">
        <is>
          <t>是</t>
        </is>
      </c>
      <c r="AC5" s="25" t="inlineStr">
        <is>
          <t>电网代理购电</t>
        </is>
      </c>
      <c r="AD5" s="26" t="inlineStr">
        <is>
          <t>这是示例，正式填写请删除本行。充电站：白天负荷填 0，用电性质选充电设施。</t>
        </is>
      </c>
    </row>
    <row r="6">
      <c r="A6" s="23" t="inlineStr">
        <is>
          <t>示例：宝安物流园配电</t>
        </is>
      </c>
      <c r="B6" s="23" t="inlineStr">
        <is>
          <t>广东</t>
        </is>
      </c>
      <c r="C6" s="23" t="inlineStr">
        <is>
          <t>深圳</t>
        </is>
      </c>
      <c r="D6" s="23" t="inlineStr">
        <is>
          <t>宝安区xx园</t>
        </is>
      </c>
      <c r="E6" s="23" t="inlineStr">
        <is>
          <t>厂区+充电</t>
        </is>
      </c>
      <c r="F6" s="23" t="n">
        <v>480</v>
      </c>
      <c r="G6" s="23" t="n">
        <v>0</v>
      </c>
      <c r="H6" s="23" t="n">
        <v>0</v>
      </c>
      <c r="I6" s="23" t="n">
        <v>0</v>
      </c>
      <c r="J6" s="23" t="n">
        <v>120</v>
      </c>
      <c r="K6" s="23" t="inlineStr">
        <is>
          <t>1</t>
        </is>
      </c>
      <c r="L6" s="23" t="inlineStr">
        <is>
          <t>03xxxxxxxxxx</t>
        </is>
      </c>
      <c r="M6" s="23" t="inlineStr">
        <is>
          <t>独立</t>
        </is>
      </c>
      <c r="N6" s="23" t="inlineStr">
        <is>
          <t>需改造</t>
        </is>
      </c>
      <c r="O6" s="23" t="inlineStr">
        <is>
          <t>工业</t>
        </is>
      </c>
      <c r="P6" s="23" t="inlineStr">
        <is>
          <t>未装</t>
        </is>
      </c>
      <c r="Q6" s="23" t="inlineStr">
        <is>
          <t>一体式</t>
        </is>
      </c>
      <c r="R6" s="23" t="n">
        <v>0</v>
      </c>
      <c r="S6" s="23" t="n">
        <v>0</v>
      </c>
      <c r="T6" s="23" t="inlineStr">
        <is>
          <t>不适用</t>
        </is>
      </c>
      <c r="U6" s="23" t="inlineStr">
        <is>
          <t>无</t>
        </is>
      </c>
      <c r="V6" s="23" t="n">
        <v>0</v>
      </c>
      <c r="W6" s="24" t="n">
        <v>350</v>
      </c>
      <c r="X6" s="25" t="n">
        <v>1000</v>
      </c>
      <c r="Y6" s="25" t="n">
        <v>150</v>
      </c>
      <c r="Z6" s="25" t="n">
        <v>800</v>
      </c>
      <c r="AA6" s="25" t="n">
        <v>12000</v>
      </c>
      <c r="AB6" s="25" t="inlineStr">
        <is>
          <t>是</t>
        </is>
      </c>
      <c r="AC6" s="25" t="inlineStr">
        <is>
          <t>电网代理购电</t>
        </is>
      </c>
      <c r="AD6" s="26" t="inlineStr">
        <is>
          <t>这是示例，正式填写请删除本行。厂区带充电：绿色列填变压器和白天负荷，不问桩能不能调。</t>
        </is>
      </c>
    </row>
    <row r="7">
      <c r="A7" s="23" t="inlineStr">
        <is>
          <t>示例：铁西机械厂配电</t>
        </is>
      </c>
      <c r="B7" s="23" t="inlineStr">
        <is>
          <t>辽宁</t>
        </is>
      </c>
      <c r="C7" s="23" t="inlineStr">
        <is>
          <t>沈阳</t>
        </is>
      </c>
      <c r="D7" s="23" t="inlineStr">
        <is>
          <t>铁西区xx路</t>
        </is>
      </c>
      <c r="E7" s="23" t="inlineStr">
        <is>
          <t>可调负荷</t>
        </is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80</v>
      </c>
      <c r="K7" s="23" t="inlineStr">
        <is>
          <t>1</t>
        </is>
      </c>
      <c r="L7" s="23" t="inlineStr">
        <is>
          <t>21xxxxxxxxxx</t>
        </is>
      </c>
      <c r="M7" s="23" t="inlineStr">
        <is>
          <t>独立</t>
        </is>
      </c>
      <c r="N7" s="23" t="inlineStr">
        <is>
          <t>能</t>
        </is>
      </c>
      <c r="O7" s="23" t="inlineStr">
        <is>
          <t>工业</t>
        </is>
      </c>
      <c r="P7" s="23" t="inlineStr">
        <is>
          <t>不适用</t>
        </is>
      </c>
      <c r="Q7" s="23" t="inlineStr">
        <is>
          <t>不适用</t>
        </is>
      </c>
      <c r="R7" s="23" t="n">
        <v>0</v>
      </c>
      <c r="S7" s="23" t="n">
        <v>0</v>
      </c>
      <c r="T7" s="23" t="inlineStr">
        <is>
          <t>不适用</t>
        </is>
      </c>
      <c r="U7" s="23" t="inlineStr">
        <is>
          <t>无</t>
        </is>
      </c>
      <c r="V7" s="23" t="n">
        <v>0</v>
      </c>
      <c r="W7" s="24" t="n">
        <v>380</v>
      </c>
      <c r="X7" s="25" t="n">
        <v>800</v>
      </c>
      <c r="Y7" s="25" t="n">
        <v>120</v>
      </c>
      <c r="Z7" s="25" t="n">
        <v>600</v>
      </c>
      <c r="AA7" s="25" t="n">
        <v>9000</v>
      </c>
      <c r="AB7" s="25" t="inlineStr">
        <is>
          <t>是</t>
        </is>
      </c>
      <c r="AC7" s="25" t="inlineStr">
        <is>
          <t>电网代理购电</t>
        </is>
      </c>
      <c r="AD7" s="26" t="inlineStr">
        <is>
          <t>这是示例，正式填写请删除本行。无桩厂区：充电填 0、桩型选不适用，绿色列仍填变压器和日电量。</t>
        </is>
      </c>
    </row>
    <row r="8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8" t="n"/>
      <c r="X8" s="29" t="n"/>
      <c r="Y8" s="29" t="n"/>
      <c r="Z8" s="29" t="n"/>
      <c r="AA8" s="29" t="n"/>
      <c r="AB8" s="29" t="n"/>
      <c r="AC8" s="29" t="n"/>
      <c r="AD8" s="30" t="n"/>
    </row>
    <row r="9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8" t="n"/>
      <c r="X9" s="29" t="n"/>
      <c r="Y9" s="29" t="n"/>
      <c r="Z9" s="29" t="n"/>
      <c r="AA9" s="29" t="n"/>
      <c r="AB9" s="29" t="n"/>
      <c r="AC9" s="29" t="n"/>
      <c r="AD9" s="30" t="n"/>
    </row>
    <row r="10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8" t="n"/>
      <c r="X10" s="29" t="n"/>
      <c r="Y10" s="29" t="n"/>
      <c r="Z10" s="29" t="n"/>
      <c r="AA10" s="29" t="n"/>
      <c r="AB10" s="29" t="n"/>
      <c r="AC10" s="29" t="n"/>
      <c r="AD10" s="30" t="n"/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8" t="n"/>
      <c r="X11" s="29" t="n"/>
      <c r="Y11" s="29" t="n"/>
      <c r="Z11" s="29" t="n"/>
      <c r="AA11" s="29" t="n"/>
      <c r="AB11" s="29" t="n"/>
      <c r="AC11" s="29" t="n"/>
      <c r="AD11" s="30" t="n"/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8" t="n"/>
      <c r="X12" s="29" t="n"/>
      <c r="Y12" s="29" t="n"/>
      <c r="Z12" s="29" t="n"/>
      <c r="AA12" s="29" t="n"/>
      <c r="AB12" s="29" t="n"/>
      <c r="AC12" s="29" t="n"/>
      <c r="AD12" s="30" t="n"/>
    </row>
    <row r="13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8" t="n"/>
      <c r="X13" s="29" t="n"/>
      <c r="Y13" s="29" t="n"/>
      <c r="Z13" s="29" t="n"/>
      <c r="AA13" s="29" t="n"/>
      <c r="AB13" s="29" t="n"/>
      <c r="AC13" s="29" t="n"/>
      <c r="AD13" s="30" t="n"/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8" t="n"/>
      <c r="X14" s="29" t="n"/>
      <c r="Y14" s="29" t="n"/>
      <c r="Z14" s="29" t="n"/>
      <c r="AA14" s="29" t="n"/>
      <c r="AB14" s="29" t="n"/>
      <c r="AC14" s="29" t="n"/>
      <c r="AD14" s="30" t="n"/>
    </row>
    <row r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8" t="n"/>
      <c r="X15" s="29" t="n"/>
      <c r="Y15" s="29" t="n"/>
      <c r="Z15" s="29" t="n"/>
      <c r="AA15" s="29" t="n"/>
      <c r="AB15" s="29" t="n"/>
      <c r="AC15" s="29" t="n"/>
      <c r="AD15" s="30" t="n"/>
    </row>
    <row r="16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8" t="n"/>
      <c r="X16" s="29" t="n"/>
      <c r="Y16" s="29" t="n"/>
      <c r="Z16" s="29" t="n"/>
      <c r="AA16" s="29" t="n"/>
      <c r="AB16" s="29" t="n"/>
      <c r="AC16" s="29" t="n"/>
      <c r="AD16" s="30" t="n"/>
    </row>
    <row r="17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8" t="n"/>
      <c r="X17" s="29" t="n"/>
      <c r="Y17" s="29" t="n"/>
      <c r="Z17" s="29" t="n"/>
      <c r="AA17" s="29" t="n"/>
      <c r="AB17" s="29" t="n"/>
      <c r="AC17" s="29" t="n"/>
      <c r="AD17" s="30" t="n"/>
    </row>
    <row r="18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8" t="n"/>
      <c r="X18" s="29" t="n"/>
      <c r="Y18" s="29" t="n"/>
      <c r="Z18" s="29" t="n"/>
      <c r="AA18" s="29" t="n"/>
      <c r="AB18" s="29" t="n"/>
      <c r="AC18" s="29" t="n"/>
      <c r="AD18" s="30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8" t="n"/>
      <c r="X19" s="29" t="n"/>
      <c r="Y19" s="29" t="n"/>
      <c r="Z19" s="29" t="n"/>
      <c r="AA19" s="29" t="n"/>
      <c r="AB19" s="29" t="n"/>
      <c r="AC19" s="29" t="n"/>
      <c r="AD19" s="30" t="n"/>
    </row>
    <row r="20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8" t="n"/>
      <c r="X20" s="29" t="n"/>
      <c r="Y20" s="29" t="n"/>
      <c r="Z20" s="29" t="n"/>
      <c r="AA20" s="29" t="n"/>
      <c r="AB20" s="29" t="n"/>
      <c r="AC20" s="29" t="n"/>
      <c r="AD20" s="30" t="n"/>
    </row>
    <row r="21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8" t="n"/>
      <c r="X21" s="29" t="n"/>
      <c r="Y21" s="29" t="n"/>
      <c r="Z21" s="29" t="n"/>
      <c r="AA21" s="29" t="n"/>
      <c r="AB21" s="29" t="n"/>
      <c r="AC21" s="29" t="n"/>
      <c r="AD21" s="30" t="n"/>
    </row>
    <row r="22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8" t="n"/>
      <c r="X22" s="29" t="n"/>
      <c r="Y22" s="29" t="n"/>
      <c r="Z22" s="29" t="n"/>
      <c r="AA22" s="29" t="n"/>
      <c r="AB22" s="29" t="n"/>
      <c r="AC22" s="29" t="n"/>
      <c r="AD22" s="30" t="n"/>
    </row>
  </sheetData>
  <autoFilter ref="A3:AD200"/>
  <mergeCells count="3">
    <mergeCell ref="A2:V2"/>
    <mergeCell ref="W2:AC2"/>
    <mergeCell ref="A1:AD1"/>
  </mergeCells>
  <dataValidations count="11">
    <dataValidation sqref="E8:E200" showDropDown="0" showInputMessage="1" showErrorMessage="1" allowBlank="1" errorTitle="请从下拉选" error="请从下拉列表选择。" promptTitle="类型" prompt="无桩厂区选「厂区负荷」或「可调负荷」，绿色列仍填变压器和电量" type="list">
      <formula1>"纯充电,独立储能,充电+储能,光储充,分布式光伏,可调负荷,换电,厂区负荷,厂区+充电,其他"</formula1>
    </dataValidation>
    <dataValidation sqref="K8:K200" showDropDown="0" showInputMessage="1" showErrorMessage="1" allowBlank="1" errorTitle="请从下拉选" error="请从下拉列表选择。" promptTitle="时长" prompt="一次降负荷大概能维持多久，不是电池寿命" type="list">
      <formula1>"0.5,1,2,4,不确定"</formula1>
    </dataValidation>
    <dataValidation sqref="M8:M200" showDropDown="0" showInputMessage="1" showErrorMessage="1" allowBlank="1" errorTitle="请从下拉选" error="请从下拉列表选择。" promptTitle="户号" prompt="和物业共用一块电表请选合表" type="list">
      <formula1>"独立,合表,不确定"</formula1>
    </dataValidation>
    <dataValidation sqref="N8:N200" showDropDown="0" showInputMessage="1" showErrorMessage="1" allowBlank="1" errorTitle="请从下拉选" error="请从下拉列表选择。" promptTitle="调控" prompt="这一站能不能远程调节。绿色列不看这一列" type="list">
      <formula1>"能,部分能,不能,需改造,不确定"</formula1>
    </dataValidation>
    <dataValidation sqref="O8:O200" showDropDown="0" showInputMessage="1" showErrorMessage="1" allowBlank="1" errorTitle="请从下拉选" error="请从下拉列表选择。" promptTitle="性质" prompt="充电站选充电设施，不要选非工业。工厂选工业，商场选商业" type="list">
      <formula1>"充电设施,非工业,工业,商业,其他,不确定"</formula1>
    </dataValidation>
    <dataValidation sqref="P8:P200" showDropDown="0" showInputMessage="1" showErrorMessage="1" allowBlank="1" errorTitle="请从下拉选" error="请从下拉列表选择。" promptTitle="网关" prompt="仅深圳填已装或未装，其他城市选不适用" type="list">
      <formula1>"已装,未装,不适用,不确定"</formula1>
    </dataValidation>
    <dataValidation sqref="Q8:Q200" showDropDown="0" showInputMessage="1" showErrorMessage="1" allowBlank="1" errorTitle="请从下拉选" error="请从下拉列表选择。" promptTitle="桩型" prompt="无桩选不适用" type="list">
      <formula1>"分体式,一体式,不适用"</formula1>
    </dataValidation>
    <dataValidation sqref="T8:T200" showDropDown="0" showInputMessage="1" showErrorMessage="1" allowBlank="1" errorTitle="请从下拉选" error="请从下拉列表选择。" promptTitle="换电仓" prompt="问功率能不能远程往下调。没有换电站选不适用" type="list">
      <formula1>"是,否,不确定,不适用"</formula1>
    </dataValidation>
    <dataValidation sqref="U8:U200" showDropDown="0" showInputMessage="1" showErrorMessage="1" allowBlank="1" errorTitle="请从下拉选" error="请从下拉列表选择。" promptTitle="柴发" prompt="问能不能调度。没有选无" type="list">
      <formula1>"无,有且可调,有但不可调,不确定"</formula1>
    </dataValidation>
    <dataValidation sqref="AB8:AB200" showDropDown="0" showInputMessage="1" showErrorMessage="1" allowBlank="1" errorTitle="请从下拉选" error="请从下拉列表选择。" promptTitle="场地" prompt="柜子大约集装箱大小。放不下选否" type="list">
      <formula1>"是,否,不确定"</formula1>
    </dataValidation>
    <dataValidation sqref="AC8:AC200" showDropDown="0" showInputMessage="1" showErrorMessage="1" allowBlank="1" errorTitle="请从下拉选" error="请从下拉列表选择。" promptTitle="购电" prompt="还在电网买电选电网代理购电" type="list">
      <formula1>"电网代理购电,已直接入市/售电,不清楚"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40" customWidth="1" min="4" max="4"/>
  </cols>
  <sheetData>
    <row r="1">
      <c r="A1" s="31" t="inlineStr">
        <is>
          <t>3 内部评估（客户不用填 · VPP 自动汇总；配储红绿灯在测算工具①）</t>
        </is>
      </c>
    </row>
    <row r="2" ht="36" customHeight="1">
      <c r="A2" s="32" t="inlineStr">
        <is>
          <t>粗可调 = 充电×50% + 储能功率×90% + 其他可调×70%。光伏不计入负荷调节。辽宁 DR 聚合商 ≥5MW；广东全省 DR 同地市 ≥5MW；深圳精准响应无明文 MW。配储高价值站请把本文件导入测算工具页签①。</t>
        </is>
      </c>
    </row>
    <row r="3">
      <c r="A3" s="33" t="inlineStr">
        <is>
          <t>指标</t>
        </is>
      </c>
      <c r="B3" s="33" t="inlineStr">
        <is>
          <t>数值</t>
        </is>
      </c>
      <c r="C3" s="33" t="inlineStr">
        <is>
          <t>评分</t>
        </is>
      </c>
      <c r="D3" s="33" t="inlineStr">
        <is>
          <t>说明</t>
        </is>
      </c>
    </row>
    <row r="4">
      <c r="A4" s="34" t="inlineStr">
        <is>
          <t>填报场站数（不含示例）</t>
        </is>
      </c>
      <c r="B4" s="34">
        <f>COUNTA('2-资源清单'!A8:A200)</f>
        <v/>
      </c>
      <c r="C4" s="34">
        <f>IF(B4&gt;=8,5,IF(B4&gt;=5,4,IF(B4&gt;=3,3,IF(B4&gt;=1,2,1))))</f>
        <v/>
      </c>
      <c r="D4" s="35" t="inlineStr">
        <is>
          <t>清单有效行</t>
        </is>
      </c>
    </row>
    <row r="5">
      <c r="A5" s="34" t="inlineStr">
        <is>
          <t>其中沈阳站数</t>
        </is>
      </c>
      <c r="B5" s="34">
        <f>COUNTIF('2-资源清单'!C8:C200,"沈阳")</f>
        <v/>
      </c>
      <c r="C5" s="34">
        <f>IF(B4=0,1,IF(B5/B4&gt;=0.5,5,IF(B5&gt;=3,4,IF(B5&gt;=1,3,2))))</f>
        <v/>
      </c>
      <c r="D5" s="35" t="inlineStr">
        <is>
          <t>辽宁示范密度</t>
        </is>
      </c>
    </row>
    <row r="6">
      <c r="A6" s="34" t="inlineStr">
        <is>
          <t>其中深圳站数</t>
        </is>
      </c>
      <c r="B6" s="34">
        <f>COUNTIF('2-资源清单'!C8:C200,"深圳")</f>
        <v/>
      </c>
      <c r="C6" s="34">
        <f>IF(B4=0,1,IF(B6/B4&gt;=0.5,5,IF(B6&gt;=3,4,IF(B6&gt;=1,3,2))))</f>
        <v/>
      </c>
      <c r="D6" s="35" t="inlineStr">
        <is>
          <t>深圳精准响应</t>
        </is>
      </c>
    </row>
    <row r="7">
      <c r="A7" s="34" t="inlineStr">
        <is>
          <t>充电额定合计 kW</t>
        </is>
      </c>
      <c r="B7" s="34">
        <f>SUM('2-资源清单'!F8:F200)</f>
        <v/>
      </c>
      <c r="C7" s="34">
        <f>IF(B7&gt;=10000,5,IF(B7&gt;=5000,4,IF(B7&gt;=2000,3,IF(B7&gt;=800,2,1))))</f>
        <v/>
      </c>
      <c r="D7" s="35" t="inlineStr">
        <is>
          <t>负荷类</t>
        </is>
      </c>
    </row>
    <row r="8">
      <c r="A8" s="34" t="inlineStr">
        <is>
          <t>储能功率合计 kW</t>
        </is>
      </c>
      <c r="B8" s="34">
        <f>SUM('2-资源清单'!G8:G200)</f>
        <v/>
      </c>
      <c r="C8" s="34">
        <f>IF(B8&gt;=2000,5,IF(B8&gt;=500,4,IF(B8&gt;=100,3,IF(B8&gt;0,2,1))))</f>
        <v/>
      </c>
      <c r="D8" s="35" t="inlineStr">
        <is>
          <t>储能类可单列</t>
        </is>
      </c>
    </row>
    <row r="9">
      <c r="A9" s="34" t="inlineStr">
        <is>
          <t>光伏装机合计 kWp</t>
        </is>
      </c>
      <c r="B9" s="34">
        <f>SUM('2-资源清单'!I8:I200)</f>
        <v/>
      </c>
      <c r="C9" s="34">
        <f>IF(B9&gt;=1000,5,IF(B9&gt;=200,4,IF(B9&gt;0,3,3)))</f>
        <v/>
      </c>
      <c r="D9" s="35" t="inlineStr">
        <is>
          <t>发电类另组；0 不扣分</t>
        </is>
      </c>
    </row>
    <row r="10">
      <c r="A10" s="34" t="inlineStr">
        <is>
          <t>其他可调合计 kW</t>
        </is>
      </c>
      <c r="B10" s="34">
        <f>SUM('2-资源清单'!J8:J200)</f>
        <v/>
      </c>
      <c r="C10" s="34">
        <f>IF(B10&gt;=2000,5,IF(B10&gt;=500,4,IF(B10&gt;=100,3,IF(B10&gt;0,2,1))))</f>
        <v/>
      </c>
      <c r="D10" s="35" t="inlineStr">
        <is>
          <t>厂区/空调/产线</t>
        </is>
      </c>
    </row>
    <row r="11">
      <c r="A11" s="34" t="inlineStr">
        <is>
          <t>粗可调 kW（负荷+储能）</t>
        </is>
      </c>
      <c r="B11" s="34">
        <f>B7*0.5+B8*0.9+B10*0.7</f>
        <v/>
      </c>
      <c r="C11" s="34">
        <f>IF(B11&gt;=5000,5,IF(B11&gt;=2000,4,IF(B11&gt;=1000,3,IF(B11&gt;=500,2,1))))</f>
        <v/>
      </c>
      <c r="D11" s="35" t="inlineStr">
        <is>
          <t>DR ≥5MW；现货单元实践 ≥1MW</t>
        </is>
      </c>
    </row>
    <row r="12">
      <c r="A12" s="34" t="inlineStr">
        <is>
          <t>独立户号站数</t>
        </is>
      </c>
      <c r="B12" s="34">
        <f>COUNTIF('2-资源清单'!M8:M200,"独立")</f>
        <v/>
      </c>
      <c r="C12" s="34">
        <f>IF(B4=0,1,IF(B12/B4&gt;=0.8,5,IF(B12/B4&gt;=0.5,3,2)))</f>
        <v/>
      </c>
      <c r="D12" s="35" t="inlineStr">
        <is>
          <t>辽宁名录硬门槛</t>
        </is>
      </c>
    </row>
    <row r="13">
      <c r="A13" s="34" t="inlineStr">
        <is>
          <t>能调控站数</t>
        </is>
      </c>
      <c r="B13" s="34">
        <f>COUNTIF('2-资源清单'!N8:N200,"能")+COUNTIF('2-资源清单'!N8:N200,"部分能")+COUNTIF('2-资源清单'!N8:N200,"需改造")</f>
        <v/>
      </c>
      <c r="C13" s="34">
        <f>IF(B4=0,1,IF(B13/B4&gt;=0.8,5,IF(B13/B4&gt;=0.5,3,2)))</f>
        <v/>
      </c>
      <c r="D13" s="35" t="inlineStr">
        <is>
          <t>含需改造；只服务 VPP</t>
        </is>
      </c>
    </row>
    <row r="14">
      <c r="A14" s="34" t="inlineStr">
        <is>
          <t>已装加密网关站数</t>
        </is>
      </c>
      <c r="B14" s="34">
        <f>COUNTIF('2-资源清单'!P8:P200,"已装")</f>
        <v/>
      </c>
      <c r="C14" s="34">
        <f>IF(B6=0,3,IF(B14&gt;=B6,5,IF(B14&gt;0,3,2)))</f>
        <v/>
      </c>
      <c r="D14" s="35" t="inlineStr">
        <is>
          <t>仅深圳计</t>
        </is>
      </c>
    </row>
    <row r="15">
      <c r="A15" s="34" t="inlineStr">
        <is>
          <t>售电/VPP 绑定</t>
        </is>
      </c>
      <c r="B15" s="34">
        <f>'1-公司概况'!C10</f>
        <v/>
      </c>
      <c r="C15" s="34">
        <f>IF(OR(B15="没有",B15=""),5,IF(B15="有（快到期）",4,IF(B15="不确定",3,1)))</f>
        <v/>
      </c>
      <c r="D15" s="35" t="inlineStr">
        <is>
          <t>未到期=1</t>
        </is>
      </c>
    </row>
    <row r="16">
      <c r="A16" s="36" t="inlineStr">
        <is>
          <t>综合均分</t>
        </is>
      </c>
      <c r="B16" s="37">
        <f>AVERAGE(C4:C15)</f>
        <v/>
      </c>
      <c r="C16" s="37">
        <f>IF(B16&gt;=4,"建议 VPP/DR 试点",IF(B16&gt;=3,"可培育",IF(B16&gt;=2,"信息不足/暂缓","暂缓")))</f>
        <v/>
      </c>
      <c r="D16" s="37" t="inlineStr">
        <is>
          <t>配储绿/黄/红请导入测算工具①，不要用本页代替。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2" customWidth="1" min="3" max="3"/>
    <col width="88" customWidth="1" min="4" max="4"/>
  </cols>
  <sheetData>
    <row r="1">
      <c r="A1" s="38" t="inlineStr">
        <is>
          <t>区块</t>
        </is>
      </c>
      <c r="B1" s="38" t="inlineStr">
        <is>
          <t>字段</t>
        </is>
      </c>
      <c r="C1" s="38" t="inlineStr">
        <is>
          <t>谁用</t>
        </is>
      </c>
      <c r="D1" s="38" t="inlineStr">
        <is>
          <t>怎么填</t>
        </is>
      </c>
    </row>
    <row r="2" ht="36" customHeight="1">
      <c r="A2" s="39" t="inlineStr">
        <is>
          <t>蓝</t>
        </is>
      </c>
      <c r="B2" s="4" t="inlineStr">
        <is>
          <t>资源类型</t>
        </is>
      </c>
      <c r="C2" s="4" t="inlineStr">
        <is>
          <t>双方</t>
        </is>
      </c>
      <c r="D2" s="4" t="inlineStr">
        <is>
          <t>纯充电、充电+储能、光储充、独立储能、分布式光伏、换电、可调负荷、厂区负荷、厂区+充电。无桩厂区选后两项。</t>
        </is>
      </c>
    </row>
    <row r="3" ht="36" customHeight="1">
      <c r="A3" s="39" t="inlineStr">
        <is>
          <t>蓝</t>
        </is>
      </c>
      <c r="B3" s="4" t="inlineStr">
        <is>
          <t>充电kW 到厂区其他可调</t>
        </is>
      </c>
      <c r="C3" s="4" t="inlineStr">
        <is>
          <t>虚拟电厂</t>
        </is>
      </c>
      <c r="D3" s="4" t="inlineStr">
        <is>
          <t>按本站铭牌合计，没有填 0。不要把全市加总写在一行。无桩时充电填 0。厂区其他可调不要把充电桩算进去。</t>
        </is>
      </c>
    </row>
    <row r="4" ht="36" customHeight="1">
      <c r="A4" s="39" t="inlineStr">
        <is>
          <t>蓝</t>
        </is>
      </c>
      <c r="B4" s="4" t="inlineStr">
        <is>
          <t>一次可调控时长（小时）</t>
        </is>
      </c>
      <c r="C4" s="4" t="inlineStr">
        <is>
          <t>虚拟电厂</t>
        </is>
      </c>
      <c r="D4" s="4" t="inlineStr">
        <is>
          <t>一次降负荷大概能维持多久，不是电池能用几年。常见不少于 1 小时。</t>
        </is>
      </c>
    </row>
    <row r="5" ht="36" customHeight="1">
      <c r="A5" s="39" t="inlineStr">
        <is>
          <t>蓝</t>
        </is>
      </c>
      <c r="B5" s="4" t="inlineStr">
        <is>
          <t>独立户号?</t>
        </is>
      </c>
      <c r="C5" s="4" t="inlineStr">
        <is>
          <t>双方</t>
        </is>
      </c>
      <c r="D5" s="4" t="inlineStr">
        <is>
          <t>是否单独和电网结算。和物业合表时，虚拟电厂名录和储能需量账户都较难独立处理。</t>
        </is>
      </c>
    </row>
    <row r="6" ht="36" customHeight="1">
      <c r="A6" s="39" t="inlineStr">
        <is>
          <t>蓝</t>
        </is>
      </c>
      <c r="B6" s="4" t="inlineStr">
        <is>
          <t>能调控? / 充电桩可远程限功率 / V2G</t>
        </is>
      </c>
      <c r="C6" s="4" t="inlineStr">
        <is>
          <t>仅虚拟电厂</t>
        </is>
      </c>
      <c r="D6" s="4" t="inlineStr">
        <is>
          <t>储能投资不看这些列。能调控指这一站能不能远程调节；具体千瓦填在充电桩可远程限功率或厂区其他可调。</t>
        </is>
      </c>
    </row>
    <row r="7" ht="36" customHeight="1">
      <c r="A7" s="39" t="inlineStr">
        <is>
          <t>蓝</t>
        </is>
      </c>
      <c r="B7" s="4" t="inlineStr">
        <is>
          <t>用电性质</t>
        </is>
      </c>
      <c r="C7" s="4" t="inlineStr">
        <is>
          <t>双方</t>
        </is>
      </c>
      <c r="D7" s="4" t="inlineStr">
        <is>
          <t>充电站选「充电设施」，不要选「非工业」。工厂选「工业」，商场选「商业」。</t>
        </is>
      </c>
    </row>
    <row r="8" ht="36" customHeight="1">
      <c r="A8" s="39" t="inlineStr">
        <is>
          <t>蓝</t>
        </is>
      </c>
      <c r="B8" s="4" t="inlineStr">
        <is>
          <t>加密网关?</t>
        </is>
      </c>
      <c r="C8" s="4" t="inlineStr">
        <is>
          <t>深圳虚拟电厂</t>
        </is>
      </c>
      <c r="D8" s="4" t="inlineStr">
        <is>
          <t>深圳站填已装或未装；其他城市选「不适用」。</t>
        </is>
      </c>
    </row>
    <row r="9" ht="36" customHeight="1">
      <c r="A9" s="39" t="inlineStr">
        <is>
          <t>蓝</t>
        </is>
      </c>
      <c r="B9" s="4" t="inlineStr">
        <is>
          <t>充电桩型</t>
        </is>
      </c>
      <c r="C9" s="4" t="inlineStr">
        <is>
          <t>虚拟电厂 / 落地控制</t>
        </is>
      </c>
      <c r="D9" s="4" t="inlineStr">
        <is>
          <t>无桩选「不适用」。绿色列不问桩型。</t>
        </is>
      </c>
    </row>
    <row r="10" ht="36" customHeight="1">
      <c r="A10" s="39" t="inlineStr">
        <is>
          <t>蓝</t>
        </is>
      </c>
      <c r="B10" s="4" t="inlineStr">
        <is>
          <t>换电仓功率能否远程下调</t>
        </is>
      </c>
      <c r="C10" s="4" t="inlineStr">
        <is>
          <t>仅虚拟电厂</t>
        </is>
      </c>
      <c r="D10" s="4" t="inlineStr">
        <is>
          <t>问的是仓位充电功率能不能远程往下调。没有换电站选「不适用」。</t>
        </is>
      </c>
    </row>
    <row r="11" ht="36" customHeight="1">
      <c r="A11" s="39" t="inlineStr">
        <is>
          <t>蓝</t>
        </is>
      </c>
      <c r="B11" s="4" t="inlineStr">
        <is>
          <t>柴发</t>
        </is>
      </c>
      <c r="C11" s="4" t="inlineStr">
        <is>
          <t>仅虚拟电厂</t>
        </is>
      </c>
      <c r="D11" s="4" t="inlineStr">
        <is>
          <t>问能不能调度，不是有没有柴油机本身。绿色列不问。</t>
        </is>
      </c>
    </row>
    <row r="12" ht="36" customHeight="1">
      <c r="A12" s="39" t="inlineStr">
        <is>
          <t>蓝</t>
        </is>
      </c>
      <c r="B12" s="4" t="inlineStr">
        <is>
          <t>光伏可限发kW</t>
        </is>
      </c>
      <c r="C12" s="4" t="inlineStr">
        <is>
          <t>仅虚拟电厂</t>
        </is>
      </c>
      <c r="D12" s="4" t="inlineStr">
        <is>
          <t>能远程限制发出功率的千瓦。不能调填 0。</t>
        </is>
      </c>
    </row>
    <row r="13" ht="36" customHeight="1">
      <c r="A13" s="40" t="inlineStr">
        <is>
          <t>绿</t>
        </is>
      </c>
      <c r="B13" s="6" t="inlineStr">
        <is>
          <t>白天压不下去的负荷（千瓦）</t>
        </is>
      </c>
      <c r="C13" s="6" t="inlineStr">
        <is>
          <t>储能投资</t>
        </is>
      </c>
      <c r="D13" s="6" t="inlineStr">
        <is>
          <t>白天一直在用、减不掉的电，不是能调下来的负荷。产业园和工厂必填。纯充电站填 0。</t>
        </is>
      </c>
    </row>
    <row r="14" ht="36" customHeight="1">
      <c r="A14" s="40" t="inlineStr">
        <is>
          <t>绿</t>
        </is>
      </c>
      <c r="B14" s="6" t="inlineStr">
        <is>
          <t>变压器 / 还能再接 / 合同需量 / 日均电量</t>
        </is>
      </c>
      <c r="C14" s="6" t="inlineStr">
        <is>
          <t>储能投资</t>
        </is>
      </c>
      <c r="D14" s="6" t="inlineStr">
        <is>
          <t>筛站看这些数。空着时该站最多进入需要补数的名单。峰负荷、超载时长、谷段空窗不在本表填写。</t>
        </is>
      </c>
    </row>
    <row r="15" ht="36" customHeight="1">
      <c r="A15" s="40" t="inlineStr">
        <is>
          <t>绿</t>
        </is>
      </c>
      <c r="B15" s="6" t="inlineStr">
        <is>
          <t>场地 / 购电方式</t>
        </is>
      </c>
      <c r="C15" s="6" t="inlineStr">
        <is>
          <t>储能投资</t>
        </is>
      </c>
      <c r="D15" s="6" t="inlineStr">
        <is>
          <t>场地放不下储能柜则不配置储能。还在电网买电选「电网代理购电」；已找售电公司或直接入市选另一项。</t>
        </is>
      </c>
    </row>
    <row r="16" ht="36" customHeight="1">
      <c r="A16" s="41" t="inlineStr">
        <is>
          <t>—</t>
        </is>
      </c>
      <c r="B16" s="3" t="inlineStr">
        <is>
          <t>不用填</t>
        </is>
      </c>
      <c r="C16" s="3" t="inlineStr">
        <is>
          <t>—</t>
        </is>
      </c>
      <c r="D16" s="3" t="inlineStr">
        <is>
          <t>电网节点编号、峰谷电价、投资回收期。城市用于匹配电价，户号用于内部核对。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2026-09-11T07:02:30Z</dcterms:created>
  <dcterms:modified xmlns:dcterms="http://purl.org/dc/terms/" xmlns:xsi="http://www.w3.org/2001/XMLSchema-instance" xsi:type="dcterms:W3CDTF">2026-09-11T07:02:30Z</dcterms:modified>
</cp:coreProperties>
</file>