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</sheets>
  <definedNames>
    <definedName name="_xlnm._FilterDatabase" localSheetId="2" hidden="1">'2-资源清单'!$A$3:$M$19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1E293B"/>
      <sz val="10"/>
    </font>
    <font>
      <name val="Microsoft YaHei"/>
      <b val="1"/>
      <color rgb="001A8FE3"/>
      <sz val="10"/>
    </font>
    <font>
      <name val="Microsoft YaHei"/>
      <color rgb="00475569"/>
      <sz val="9"/>
    </font>
    <font>
      <name val="Microsoft YaHei"/>
      <b val="1"/>
      <color rgb="00FFFFFF"/>
      <sz val="10"/>
    </font>
    <font>
      <name val="Microsoft YaHei"/>
      <b val="1"/>
      <color rgb="001E293B"/>
      <sz val="10"/>
    </font>
    <font>
      <name val="Microsoft YaHei"/>
      <color rgb="0064748B"/>
      <sz val="9"/>
    </font>
    <font>
      <name val="Microsoft YaHei"/>
      <b val="1"/>
      <color rgb="000A3D6B"/>
      <sz val="10"/>
    </font>
    <font>
      <name val="Microsoft YaHei"/>
      <b val="1"/>
      <color rgb="000A3D6B"/>
      <sz val="11"/>
    </font>
    <font>
      <name val="Microsoft YaHei"/>
      <color rgb="001E293B"/>
      <sz val="9"/>
    </font>
  </fonts>
  <fills count="10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FFF4C4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2" fontId="1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3D6B"/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28" customHeight="1">
      <c r="A1" s="1" t="inlineStr">
        <is>
          <t>山东资方多资产 · 虚拟电厂摸底表（约5分钟）</t>
        </is>
      </c>
    </row>
    <row r="3" ht="22" customHeight="1">
      <c r="A3" s="2" t="inlineStr">
        <is>
          <t>怎么填</t>
        </is>
      </c>
    </row>
    <row r="4" ht="48" customHeight="1">
      <c r="A4" s="3" t="inlineStr">
        <is>
          <t>先填「1-公司概况」，再填「2-资源清单」：一行一场站。充电 / 储能 / 光伏 / 其他可调负荷分列填千瓦，没有填 0。独立储能站、纯光伏站、工厂可调负荷都要单独一行，不要只报充电站。 先填打算试点的城市即可。</t>
        </is>
      </c>
    </row>
    <row r="5" ht="22" customHeight="1">
      <c r="A5" s="2" t="inlineStr">
        <is>
          <t>电费户号</t>
        </is>
      </c>
    </row>
    <row r="6" ht="48" customHeight="1">
      <c r="A6" s="3" t="inlineStr">
        <is>
          <t>电费户号=每月交电费、发票上的户号，不是桩号或储能柜编号。合在物业总表上选「合表」。</t>
        </is>
      </c>
    </row>
    <row r="7" ht="22" customHeight="1">
      <c r="A7" s="2" t="inlineStr">
        <is>
          <t>不用填</t>
        </is>
      </c>
    </row>
    <row r="8" ht="48" customHeight="1">
      <c r="A8" s="3" t="inlineStr">
        <is>
          <t>不用填电网节点、220 千伏、可调折算。地址和户号给我们后，由我们内部核对。</t>
        </is>
      </c>
    </row>
    <row r="9" ht="22" customHeight="1">
      <c r="A9" s="2" t="inlineStr">
        <is>
          <t>用途</t>
        </is>
      </c>
    </row>
    <row r="10" ht="48" customHeight="1">
      <c r="A10" s="3" t="inlineStr">
        <is>
          <t>山东按同一 220kV 出清节点组单元。负荷类实践口径单次调节 ≥1MW 且持续 ≥1h。发电类（光伏）、储能类、负荷类（充电/可调）可能要拆成不同单元，同一户号类型混在一起会打架。</t>
        </is>
      </c>
    </row>
    <row r="12" ht="24" customHeight="1">
      <c r="A12" s="4" t="inlineStr">
        <is>
          <t>填完后请把本文件发回对接人。谢谢。</t>
        </is>
      </c>
    </row>
  </sheetData>
  <mergeCells count="10">
    <mergeCell ref="A4:B4"/>
    <mergeCell ref="A7:B7"/>
    <mergeCell ref="A10:B10"/>
    <mergeCell ref="A5:B5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1A8FE3"/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48" customWidth="1" min="4" max="4"/>
  </cols>
  <sheetData>
    <row r="1" ht="26" customHeight="1">
      <c r="A1" s="1" t="inlineStr">
        <is>
          <t>1 公司概况（约1分钟）</t>
        </is>
      </c>
    </row>
    <row r="2" ht="22" customHeight="1">
      <c r="A2" s="5" t="inlineStr">
        <is>
          <t>黄色格子请填写或下拉。资源规模请分项写，不要只写充电。</t>
        </is>
      </c>
    </row>
    <row r="3" ht="28" customHeight="1">
      <c r="A3" s="6" t="inlineStr">
        <is>
          <t>序号</t>
        </is>
      </c>
      <c r="B3" s="6" t="inlineStr">
        <is>
          <t>问题</t>
        </is>
      </c>
      <c r="C3" s="6" t="inlineStr">
        <is>
          <t>请填写</t>
        </is>
      </c>
      <c r="D3" s="6" t="inlineStr">
        <is>
          <t>说明</t>
        </is>
      </c>
    </row>
    <row r="4" ht="32" customHeight="1">
      <c r="A4" s="6" t="n">
        <v>1</v>
      </c>
      <c r="B4" s="7" t="inlineStr">
        <is>
          <t>公司名称</t>
        </is>
      </c>
      <c r="C4" s="8" t="n"/>
      <c r="D4" s="9" t="inlineStr">
        <is>
          <t>营业执照名称即可</t>
        </is>
      </c>
    </row>
    <row r="5" ht="32" customHeight="1">
      <c r="A5" s="6" t="n">
        <v>2</v>
      </c>
      <c r="B5" s="7" t="inlineStr">
        <is>
          <t>联系人 / 电话</t>
        </is>
      </c>
      <c r="C5" s="8" t="n"/>
      <c r="D5" s="9" t="inlineStr">
        <is>
          <t>商务 + 运维一人即可</t>
        </is>
      </c>
    </row>
    <row r="6" ht="32" customHeight="1">
      <c r="A6" s="6" t="n">
        <v>3</v>
      </c>
      <c r="B6" s="7" t="inlineStr">
        <is>
          <t>山东各类资源大约多少</t>
        </is>
      </c>
      <c r="C6" s="8" t="n"/>
      <c r="D6" s="9" t="inlineStr">
        <is>
          <t>例：充电 8MW / 储能 2MW·4MWh / 光伏 0.5MWp / 可调负荷 1MW</t>
        </is>
      </c>
    </row>
    <row r="7" ht="32" customHeight="1">
      <c r="A7" s="6" t="n">
        <v>4</v>
      </c>
      <c r="B7" s="7" t="inlineStr">
        <is>
          <t>主要在哪几个城市</t>
        </is>
      </c>
      <c r="C7" s="8" t="n"/>
      <c r="D7" s="9" t="inlineStr">
        <is>
          <t>例：济南、青岛。先写站多的</t>
        </is>
      </c>
    </row>
    <row r="8" ht="32" customHeight="1">
      <c r="A8" s="6" t="n">
        <v>5</v>
      </c>
      <c r="B8" s="7" t="inlineStr">
        <is>
          <t>现在电费跟哪家售电公司签</t>
        </is>
      </c>
      <c r="C8" s="8" t="n"/>
      <c r="D8" s="9" t="inlineStr">
        <is>
          <t>没有就填「没有」</t>
        </is>
      </c>
    </row>
    <row r="9" ht="32" customHeight="1">
      <c r="A9" s="6" t="n">
        <v>6</v>
      </c>
      <c r="B9" s="7" t="inlineStr">
        <is>
          <t>有没有签过虚拟电厂 / 需求响应</t>
        </is>
      </c>
      <c r="C9" s="8" t="n"/>
      <c r="D9" s="9" t="inlineStr">
        <is>
          <t>含国网山东电动等</t>
        </is>
      </c>
    </row>
    <row r="10" ht="32" customHeight="1">
      <c r="A10" s="6" t="n">
        <v>7</v>
      </c>
      <c r="B10" s="7" t="inlineStr">
        <is>
          <t>哪些资产能远程调控</t>
        </is>
      </c>
      <c r="C10" s="8" t="n"/>
      <c r="D10" s="9" t="inlineStr">
        <is>
          <t>充电限功率 / 储能 EMS / 光伏限发 / 负荷可控</t>
        </is>
      </c>
    </row>
    <row r="12" ht="22" customHeight="1">
      <c r="A12" s="4" t="inlineStr">
        <is>
          <t>填完请到「2-资源清单」</t>
        </is>
      </c>
    </row>
  </sheetData>
  <mergeCells count="3">
    <mergeCell ref="A1:D1"/>
    <mergeCell ref="A12:D12"/>
    <mergeCell ref="A2:D2"/>
  </mergeCells>
  <dataValidations count="2">
    <dataValidation sqref="C9" showDropDown="0" showInputMessage="1" showErrorMessage="1" allowBlank="1" errorTitle="请从下拉选" error="请从下拉列表选择，不要手填别的词。" promptTitle="绑定" prompt="山东一户一期一家 VPP" type="list">
      <formula1>"没有,有（未到期）,有（快到期）,不确定"</formula1>
    </dataValidation>
    <dataValidation sqref="C10" showDropDown="0" showInputMessage="1" showErrorMessage="1" allowBlank="1" errorTitle="请从下拉选" error="请从下拉列表选择，不要手填别的词。" promptTitle="调控" prompt="控不住则难测" type="list">
      <formula1>"都能,仅储能,仅充电,部分能,都不能,不确定"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9" customWidth="1" min="10" max="10"/>
    <col width="14" customWidth="1" min="11" max="11"/>
    <col width="10" customWidth="1" min="12" max="12"/>
    <col width="10" customWidth="1" min="13" max="13"/>
  </cols>
  <sheetData>
    <row r="1" ht="26" customHeight="1">
      <c r="A1" s="1" t="inlineStr">
        <is>
          <t>2 资源清单（一行一场站，充电/储能/光伏/可调分列）</t>
        </is>
      </c>
    </row>
    <row r="2" ht="28" customHeight="1">
      <c r="A2" s="5" t="inlineStr">
        <is>
          <t>第3行表头，第4行示例，从第5行填。没有的资产列填 0。独立储能、光伏、工厂可调都要单独一行。</t>
        </is>
      </c>
    </row>
    <row r="3" ht="40" customHeight="1">
      <c r="A3" s="6" t="inlineStr">
        <is>
          <t>场站名称</t>
        </is>
      </c>
      <c r="B3" s="6" t="inlineStr">
        <is>
          <t>城市</t>
        </is>
      </c>
      <c r="C3" s="6" t="inlineStr">
        <is>
          <t>区县+地址</t>
        </is>
      </c>
      <c r="D3" s="6" t="inlineStr">
        <is>
          <t>资源类型</t>
        </is>
      </c>
      <c r="E3" s="6" t="inlineStr">
        <is>
          <t>充电kW</t>
        </is>
      </c>
      <c r="F3" s="6" t="inlineStr">
        <is>
          <t>储能功率kW</t>
        </is>
      </c>
      <c r="G3" s="6" t="inlineStr">
        <is>
          <t>储能kWh</t>
        </is>
      </c>
      <c r="H3" s="6" t="inlineStr">
        <is>
          <t>光伏kWp</t>
        </is>
      </c>
      <c r="I3" s="6" t="inlineStr">
        <is>
          <t>其他可调kW</t>
        </is>
      </c>
      <c r="J3" s="6" t="inlineStr">
        <is>
          <t>可持续h</t>
        </is>
      </c>
      <c r="K3" s="6" t="inlineStr">
        <is>
          <t>电费户号</t>
        </is>
      </c>
      <c r="L3" s="6" t="inlineStr">
        <is>
          <t>独立户号?</t>
        </is>
      </c>
      <c r="M3" s="6" t="inlineStr">
        <is>
          <t>能调控?</t>
        </is>
      </c>
    </row>
    <row r="4" ht="22" customHeight="1">
      <c r="A4" s="10" t="inlineStr">
        <is>
          <t>示例：高新光储充站</t>
        </is>
      </c>
      <c r="B4" s="11" t="inlineStr">
        <is>
          <t>济南</t>
        </is>
      </c>
      <c r="C4" s="10" t="inlineStr">
        <is>
          <t>历下区xx路xx号</t>
        </is>
      </c>
      <c r="D4" s="11" t="inlineStr">
        <is>
          <t>光储充</t>
        </is>
      </c>
      <c r="E4" s="11" t="n">
        <v>1200</v>
      </c>
      <c r="F4" s="11" t="n">
        <v>200</v>
      </c>
      <c r="G4" s="11" t="n">
        <v>400</v>
      </c>
      <c r="H4" s="11" t="n">
        <v>100</v>
      </c>
      <c r="I4" s="11" t="n">
        <v>0</v>
      </c>
      <c r="J4" s="11" t="inlineStr">
        <is>
          <t>2</t>
        </is>
      </c>
      <c r="K4" s="10" t="inlineStr">
        <is>
          <t>03xxxxxxxxxx</t>
        </is>
      </c>
      <c r="L4" s="11" t="inlineStr">
        <is>
          <t>独立</t>
        </is>
      </c>
      <c r="M4" s="11" t="inlineStr">
        <is>
          <t>能</t>
        </is>
      </c>
    </row>
    <row r="5" ht="22" customHeight="1">
      <c r="A5" s="8" t="n"/>
      <c r="B5" s="12" t="n"/>
      <c r="C5" s="8" t="n"/>
      <c r="D5" s="12" t="n"/>
      <c r="E5" s="13" t="n"/>
      <c r="F5" s="13" t="n"/>
      <c r="G5" s="13" t="n"/>
      <c r="H5" s="13" t="n"/>
      <c r="I5" s="13" t="n"/>
      <c r="J5" s="12" t="n"/>
      <c r="K5" s="8" t="n"/>
      <c r="L5" s="12" t="n"/>
      <c r="M5" s="12" t="n"/>
    </row>
    <row r="6" ht="22" customHeight="1">
      <c r="A6" s="8" t="n"/>
      <c r="B6" s="12" t="n"/>
      <c r="C6" s="8" t="n"/>
      <c r="D6" s="12" t="n"/>
      <c r="E6" s="13" t="n"/>
      <c r="F6" s="13" t="n"/>
      <c r="G6" s="13" t="n"/>
      <c r="H6" s="13" t="n"/>
      <c r="I6" s="13" t="n"/>
      <c r="J6" s="12" t="n"/>
      <c r="K6" s="8" t="n"/>
      <c r="L6" s="12" t="n"/>
      <c r="M6" s="12" t="n"/>
    </row>
    <row r="7" ht="22" customHeight="1">
      <c r="A7" s="8" t="n"/>
      <c r="B7" s="12" t="n"/>
      <c r="C7" s="8" t="n"/>
      <c r="D7" s="12" t="n"/>
      <c r="E7" s="13" t="n"/>
      <c r="F7" s="13" t="n"/>
      <c r="G7" s="13" t="n"/>
      <c r="H7" s="13" t="n"/>
      <c r="I7" s="13" t="n"/>
      <c r="J7" s="12" t="n"/>
      <c r="K7" s="8" t="n"/>
      <c r="L7" s="12" t="n"/>
      <c r="M7" s="12" t="n"/>
    </row>
    <row r="8" ht="22" customHeight="1">
      <c r="A8" s="8" t="n"/>
      <c r="B8" s="12" t="n"/>
      <c r="C8" s="8" t="n"/>
      <c r="D8" s="12" t="n"/>
      <c r="E8" s="13" t="n"/>
      <c r="F8" s="13" t="n"/>
      <c r="G8" s="13" t="n"/>
      <c r="H8" s="13" t="n"/>
      <c r="I8" s="13" t="n"/>
      <c r="J8" s="12" t="n"/>
      <c r="K8" s="8" t="n"/>
      <c r="L8" s="12" t="n"/>
      <c r="M8" s="12" t="n"/>
    </row>
    <row r="9" ht="22" customHeight="1">
      <c r="A9" s="8" t="n"/>
      <c r="B9" s="12" t="n"/>
      <c r="C9" s="8" t="n"/>
      <c r="D9" s="12" t="n"/>
      <c r="E9" s="13" t="n"/>
      <c r="F9" s="13" t="n"/>
      <c r="G9" s="13" t="n"/>
      <c r="H9" s="13" t="n"/>
      <c r="I9" s="13" t="n"/>
      <c r="J9" s="12" t="n"/>
      <c r="K9" s="8" t="n"/>
      <c r="L9" s="12" t="n"/>
      <c r="M9" s="12" t="n"/>
    </row>
    <row r="10" ht="22" customHeight="1">
      <c r="A10" s="8" t="n"/>
      <c r="B10" s="12" t="n"/>
      <c r="C10" s="8" t="n"/>
      <c r="D10" s="12" t="n"/>
      <c r="E10" s="13" t="n"/>
      <c r="F10" s="13" t="n"/>
      <c r="G10" s="13" t="n"/>
      <c r="H10" s="13" t="n"/>
      <c r="I10" s="13" t="n"/>
      <c r="J10" s="12" t="n"/>
      <c r="K10" s="8" t="n"/>
      <c r="L10" s="12" t="n"/>
      <c r="M10" s="12" t="n"/>
    </row>
    <row r="11" ht="22" customHeight="1">
      <c r="A11" s="8" t="n"/>
      <c r="B11" s="12" t="n"/>
      <c r="C11" s="8" t="n"/>
      <c r="D11" s="12" t="n"/>
      <c r="E11" s="13" t="n"/>
      <c r="F11" s="13" t="n"/>
      <c r="G11" s="13" t="n"/>
      <c r="H11" s="13" t="n"/>
      <c r="I11" s="13" t="n"/>
      <c r="J11" s="12" t="n"/>
      <c r="K11" s="8" t="n"/>
      <c r="L11" s="12" t="n"/>
      <c r="M11" s="12" t="n"/>
    </row>
    <row r="12" ht="22" customHeight="1">
      <c r="A12" s="8" t="n"/>
      <c r="B12" s="12" t="n"/>
      <c r="C12" s="8" t="n"/>
      <c r="D12" s="12" t="n"/>
      <c r="E12" s="13" t="n"/>
      <c r="F12" s="13" t="n"/>
      <c r="G12" s="13" t="n"/>
      <c r="H12" s="13" t="n"/>
      <c r="I12" s="13" t="n"/>
      <c r="J12" s="12" t="n"/>
      <c r="K12" s="8" t="n"/>
      <c r="L12" s="12" t="n"/>
      <c r="M12" s="12" t="n"/>
    </row>
    <row r="13" ht="22" customHeight="1">
      <c r="A13" s="8" t="n"/>
      <c r="B13" s="12" t="n"/>
      <c r="C13" s="8" t="n"/>
      <c r="D13" s="12" t="n"/>
      <c r="E13" s="13" t="n"/>
      <c r="F13" s="13" t="n"/>
      <c r="G13" s="13" t="n"/>
      <c r="H13" s="13" t="n"/>
      <c r="I13" s="13" t="n"/>
      <c r="J13" s="12" t="n"/>
      <c r="K13" s="8" t="n"/>
      <c r="L13" s="12" t="n"/>
      <c r="M13" s="12" t="n"/>
    </row>
    <row r="14" ht="22" customHeight="1">
      <c r="A14" s="8" t="n"/>
      <c r="B14" s="12" t="n"/>
      <c r="C14" s="8" t="n"/>
      <c r="D14" s="12" t="n"/>
      <c r="E14" s="13" t="n"/>
      <c r="F14" s="13" t="n"/>
      <c r="G14" s="13" t="n"/>
      <c r="H14" s="13" t="n"/>
      <c r="I14" s="13" t="n"/>
      <c r="J14" s="12" t="n"/>
      <c r="K14" s="8" t="n"/>
      <c r="L14" s="12" t="n"/>
      <c r="M14" s="12" t="n"/>
    </row>
    <row r="15" ht="22" customHeight="1">
      <c r="A15" s="8" t="n"/>
      <c r="B15" s="12" t="n"/>
      <c r="C15" s="8" t="n"/>
      <c r="D15" s="12" t="n"/>
      <c r="E15" s="13" t="n"/>
      <c r="F15" s="13" t="n"/>
      <c r="G15" s="13" t="n"/>
      <c r="H15" s="13" t="n"/>
      <c r="I15" s="13" t="n"/>
      <c r="J15" s="12" t="n"/>
      <c r="K15" s="8" t="n"/>
      <c r="L15" s="12" t="n"/>
      <c r="M15" s="12" t="n"/>
    </row>
    <row r="16" ht="22" customHeight="1">
      <c r="A16" s="8" t="n"/>
      <c r="B16" s="12" t="n"/>
      <c r="C16" s="8" t="n"/>
      <c r="D16" s="12" t="n"/>
      <c r="E16" s="13" t="n"/>
      <c r="F16" s="13" t="n"/>
      <c r="G16" s="13" t="n"/>
      <c r="H16" s="13" t="n"/>
      <c r="I16" s="13" t="n"/>
      <c r="J16" s="12" t="n"/>
      <c r="K16" s="8" t="n"/>
      <c r="L16" s="12" t="n"/>
      <c r="M16" s="12" t="n"/>
    </row>
    <row r="17" ht="22" customHeight="1">
      <c r="A17" s="8" t="n"/>
      <c r="B17" s="12" t="n"/>
      <c r="C17" s="8" t="n"/>
      <c r="D17" s="12" t="n"/>
      <c r="E17" s="13" t="n"/>
      <c r="F17" s="13" t="n"/>
      <c r="G17" s="13" t="n"/>
      <c r="H17" s="13" t="n"/>
      <c r="I17" s="13" t="n"/>
      <c r="J17" s="12" t="n"/>
      <c r="K17" s="8" t="n"/>
      <c r="L17" s="12" t="n"/>
      <c r="M17" s="12" t="n"/>
    </row>
    <row r="18" ht="22" customHeight="1">
      <c r="A18" s="8" t="n"/>
      <c r="B18" s="12" t="n"/>
      <c r="C18" s="8" t="n"/>
      <c r="D18" s="12" t="n"/>
      <c r="E18" s="13" t="n"/>
      <c r="F18" s="13" t="n"/>
      <c r="G18" s="13" t="n"/>
      <c r="H18" s="13" t="n"/>
      <c r="I18" s="13" t="n"/>
      <c r="J18" s="12" t="n"/>
      <c r="K18" s="8" t="n"/>
      <c r="L18" s="12" t="n"/>
      <c r="M18" s="12" t="n"/>
    </row>
    <row r="19" ht="22" customHeight="1">
      <c r="A19" s="8" t="n"/>
      <c r="B19" s="12" t="n"/>
      <c r="C19" s="8" t="n"/>
      <c r="D19" s="12" t="n"/>
      <c r="E19" s="13" t="n"/>
      <c r="F19" s="13" t="n"/>
      <c r="G19" s="13" t="n"/>
      <c r="H19" s="13" t="n"/>
      <c r="I19" s="13" t="n"/>
      <c r="J19" s="12" t="n"/>
      <c r="K19" s="8" t="n"/>
      <c r="L19" s="12" t="n"/>
      <c r="M19" s="12" t="n"/>
    </row>
    <row r="20" ht="32" customHeight="1">
      <c r="A20" s="4" t="inlineStr">
        <is>
          <t>同一地址不同户号请分行。光伏一般进发电类单元，不计入负荷调节；储能可单独成单元。</t>
        </is>
      </c>
    </row>
  </sheetData>
  <autoFilter ref="A3:M19"/>
  <mergeCells count="3">
    <mergeCell ref="A20:M20"/>
    <mergeCell ref="A2:M2"/>
    <mergeCell ref="A1:M1"/>
  </mergeCells>
  <dataValidations count="5">
    <dataValidation sqref="B5:B19" showDropDown="0" showInputMessage="1" showErrorMessage="1" allowBlank="1" errorTitle="请从下拉选" error="请从下拉列表选择，不要手填别的词。" promptTitle="城市" prompt="请选到地市，不要只写省" type="list">
      <formula1>"济南,青岛,烟台,潍坊,淄博,临沂,济宁,威海,德州,泰安,其他"</formula1>
    </dataValidation>
    <dataValidation sqref="D5:D19" showDropDown="0" showInputMessage="1" showErrorMessage="1" allowBlank="1" errorTitle="请从下拉选" error="请从下拉列表选择，不要手填别的词。" promptTitle="资源类型" prompt="独立储能 / 纯光伏 / 可调负荷也要单列一行" type="list">
      <formula1>"纯充电,独立储能,充电+储能,光储充,分布式光伏,可调负荷,换电,其他"</formula1>
    </dataValidation>
    <dataValidation sqref="J5:J19" showDropDown="0" showInputMessage="1" showErrorMessage="1" allowBlank="1" errorTitle="请从下拉选" error="请从下拉列表选择，不要手填别的词。" promptTitle="时长" prompt="政策常见要求持续 ≥1 小时" type="list">
      <formula1>"0.5,1,2,4,不确定"</formula1>
    </dataValidation>
    <dataValidation sqref="L5:L19" showDropDown="0" showInputMessage="1" showErrorMessage="1" allowBlank="1" errorTitle="请从下拉选" error="请从下拉列表选择，不要手填别的词。" promptTitle="户号" prompt="合表站结算难" type="list">
      <formula1>"独立,合表,不确定"</formula1>
    </dataValidation>
    <dataValidation sqref="M5:M19" showDropDown="0" showInputMessage="1" showErrorMessage="1" allowBlank="1" errorTitle="请从下拉选" error="请从下拉列表选择，不要手填别的词。" promptTitle="调控" prompt="充电限功率 / 储能充放 / 光伏限发 / 负荷可控" type="list">
      <formula1>"能,部分能,不能,不确定"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8" customWidth="1" min="4" max="4"/>
  </cols>
  <sheetData>
    <row r="1" ht="26" customHeight="1">
      <c r="A1" s="1" t="inlineStr">
        <is>
          <t>3 内部评估（客户不用填 · 自动汇总）</t>
        </is>
      </c>
    </row>
    <row r="2" ht="32" customHeight="1">
      <c r="A2" s="5" t="inlineStr">
        <is>
          <t>负荷侧粗可调 = 充电×50% + 储能功率×90% + 其他可调×70%。光伏不计入负荷调节（发电类单元另组）。同 220kV 节点须售电同事用户号另核。</t>
        </is>
      </c>
    </row>
    <row r="3" ht="26" customHeight="1">
      <c r="A3" s="6" t="inlineStr">
        <is>
          <t>指标</t>
        </is>
      </c>
      <c r="B3" s="6" t="inlineStr">
        <is>
          <t>数值</t>
        </is>
      </c>
      <c r="C3" s="6" t="inlineStr">
        <is>
          <t>打分(1-5)</t>
        </is>
      </c>
      <c r="D3" s="6" t="inlineStr">
        <is>
          <t>口径</t>
        </is>
      </c>
    </row>
    <row r="4" ht="24" customHeight="1">
      <c r="A4" s="7" t="inlineStr">
        <is>
          <t>填报场站数（不含示例）</t>
        </is>
      </c>
      <c r="B4" s="14">
        <f>COUNTA('2-资源清单'!A5:A19)</f>
        <v/>
      </c>
      <c r="C4" s="15">
        <f>IF(B4&gt;=8,5,IF(B4&gt;=5,4,IF(B4&gt;=3,3,IF(B4&gt;=1,2,1))))</f>
        <v/>
      </c>
      <c r="D4" s="9" t="inlineStr">
        <is>
          <t>清单有效行数</t>
        </is>
      </c>
    </row>
    <row r="5" ht="24" customHeight="1">
      <c r="A5" s="7" t="inlineStr">
        <is>
          <t>充电额定合计 kW</t>
        </is>
      </c>
      <c r="B5" s="14">
        <f>SUM('2-资源清单'!E5:E19)</f>
        <v/>
      </c>
      <c r="C5" s="15">
        <f>IF(B5&gt;=10000,5,IF(B5&gt;=5000,4,IF(B5&gt;=2000,3,IF(B5&gt;=800,2,1))))</f>
        <v/>
      </c>
      <c r="D5" s="9" t="inlineStr">
        <is>
          <t>负荷类规模</t>
        </is>
      </c>
    </row>
    <row r="6" ht="24" customHeight="1">
      <c r="A6" s="7" t="inlineStr">
        <is>
          <t>储能功率合计 kW</t>
        </is>
      </c>
      <c r="B6" s="14">
        <f>SUM('2-资源清单'!F5:F19)</f>
        <v/>
      </c>
      <c r="C6" s="15">
        <f>IF(B6&gt;=2000,5,IF(B6&gt;=500,4,IF(B6&gt;=100,3,IF(B6&gt;0,2,1))))</f>
        <v/>
      </c>
      <c r="D6" s="9" t="inlineStr">
        <is>
          <t>储能类单元可单列</t>
        </is>
      </c>
    </row>
    <row r="7" ht="24" customHeight="1">
      <c r="A7" s="7" t="inlineStr">
        <is>
          <t>储能容量合计 kWh</t>
        </is>
      </c>
      <c r="B7" s="14">
        <f>SUM('2-资源清单'!G5:G19)</f>
        <v/>
      </c>
      <c r="C7" s="15">
        <f>IF(B7&gt;=4000,5,IF(B7&gt;=1000,4,IF(B7&gt;=200,3,IF(B7&gt;0,2,1))))</f>
        <v/>
      </c>
      <c r="D7" s="9" t="inlineStr">
        <is>
          <t>支撑持续 ≥1h</t>
        </is>
      </c>
    </row>
    <row r="8" ht="24" customHeight="1">
      <c r="A8" s="7" t="inlineStr">
        <is>
          <t>光伏装机合计 kWp</t>
        </is>
      </c>
      <c r="B8" s="14">
        <f>SUM('2-资源清单'!H5:H19)</f>
        <v/>
      </c>
      <c r="C8" s="15">
        <f>IF(B8&gt;=1000,5,IF(B8&gt;=200,4,IF(B8&gt;0,3,3)))</f>
        <v/>
      </c>
      <c r="D8" s="9" t="inlineStr">
        <is>
          <t>发电类另组单元；0 不扣分</t>
        </is>
      </c>
    </row>
    <row r="9" ht="24" customHeight="1">
      <c r="A9" s="7" t="inlineStr">
        <is>
          <t>其他可调合计 kW</t>
        </is>
      </c>
      <c r="B9" s="14">
        <f>SUM('2-资源清单'!I5:I19)</f>
        <v/>
      </c>
      <c r="C9" s="15">
        <f>IF(B9&gt;=2000,5,IF(B9&gt;=500,4,IF(B9&gt;=100,3,IF(B9&gt;0,2,1))))</f>
        <v/>
      </c>
      <c r="D9" s="9" t="inlineStr">
        <is>
          <t>空调/产线等负荷</t>
        </is>
      </c>
    </row>
    <row r="10" ht="24" customHeight="1">
      <c r="A10" s="7" t="inlineStr">
        <is>
          <t>粗可调 kW（负荷+储能）</t>
        </is>
      </c>
      <c r="B10" s="14">
        <f>B5*0.5+B6*0.9+B9*0.7</f>
        <v/>
      </c>
      <c r="C10" s="15">
        <f>IF(B10&gt;=5000,5,IF(B10&gt;=2000,4,IF(B10&gt;=1000,3,IF(B10&gt;=500,2,1))))</f>
        <v/>
      </c>
      <c r="D10" s="9" t="inlineStr">
        <is>
          <t>同节点另核；试点门槛实践 ≥1MW</t>
        </is>
      </c>
    </row>
    <row r="11" ht="24" customHeight="1">
      <c r="A11" s="7" t="inlineStr">
        <is>
          <t>可持续≥1h 站数</t>
        </is>
      </c>
      <c r="B11" s="14">
        <f>COUNTIF('2-资源清单'!J5:J19,"1")+COUNTIF('2-资源清单'!J5:J19,"2")+COUNTIF('2-资源清单'!J5:J19,"4")</f>
        <v/>
      </c>
      <c r="C11" s="15">
        <f>IF(B4=0,1,IF(B11/B4&gt;=0.8,5,IF(B11/B4&gt;=0.5,3,2)))</f>
        <v/>
      </c>
      <c r="D11" s="9" t="inlineStr">
        <is>
          <t>政策常见持续 ≥1h</t>
        </is>
      </c>
    </row>
    <row r="12" ht="24" customHeight="1">
      <c r="A12" s="7" t="inlineStr">
        <is>
          <t>独立户号站数</t>
        </is>
      </c>
      <c r="B12" s="14">
        <f>COUNTIF('2-资源清单'!L5:L19,"独立")</f>
        <v/>
      </c>
      <c r="C12" s="15">
        <f>IF(B4=0,1,IF(B12/B4&gt;=0.8,5,IF(B12/B4&gt;=0.5,3,2)))</f>
        <v/>
      </c>
      <c r="D12" s="9" t="inlineStr">
        <is>
          <t>合表站结算难</t>
        </is>
      </c>
    </row>
    <row r="13" ht="24" customHeight="1">
      <c r="A13" s="7" t="inlineStr">
        <is>
          <t>能调控站数</t>
        </is>
      </c>
      <c r="B13" s="14">
        <f>COUNTIF('2-资源清单'!M5:M19,"能")+COUNTIF('2-资源清单'!M5:M19,"部分能")</f>
        <v/>
      </c>
      <c r="C13" s="15">
        <f>IF(B4=0,1,IF(B13/B4&gt;=0.8,5,IF(B13/B4&gt;=0.5,3,2)))</f>
        <v/>
      </c>
      <c r="D13" s="9" t="inlineStr">
        <is>
          <t>含充电限功率 / 储能 EMS / 负荷可控</t>
        </is>
      </c>
    </row>
    <row r="15" ht="22" customHeight="1">
      <c r="A15" s="2" t="inlineStr">
        <is>
          <t>公司侧（来自概况）</t>
        </is>
      </c>
    </row>
    <row r="16" ht="24" customHeight="1">
      <c r="A16" s="7" t="inlineStr">
        <is>
          <t>售电/VPP 绑定</t>
        </is>
      </c>
      <c r="B16" s="14">
        <f>'1-公司概况'!C9</f>
        <v/>
      </c>
      <c r="C16" s="15">
        <f>IF(OR(B16="没有",B16=""),5,IF(B16="有（快到期）",4,IF(B16="不确定",3,1)))</f>
        <v/>
      </c>
      <c r="D16" s="9" t="inlineStr">
        <is>
          <t>没有=5；已签未到期=1</t>
        </is>
      </c>
    </row>
    <row r="17" ht="24" customHeight="1">
      <c r="A17" s="7" t="inlineStr">
        <is>
          <t>远程调控（公司口径）</t>
        </is>
      </c>
      <c r="B17" s="14">
        <f>'1-公司概况'!C10</f>
        <v/>
      </c>
      <c r="C17" s="15">
        <f>IF(OR(B17="都能",B17="仅储能"),5,IF(OR(B17="仅充电",B17="部分能"),3,IF(B17="不确定",2,1)))</f>
        <v/>
      </c>
      <c r="D17" s="9" t="inlineStr">
        <is>
          <t>与资源清单交叉验证</t>
        </is>
      </c>
    </row>
    <row r="18" ht="24" customHeight="1">
      <c r="A18" s="7" t="inlineStr">
        <is>
          <t>主要城市</t>
        </is>
      </c>
      <c r="B18" s="14">
        <f>'1-公司概况'!C7</f>
        <v/>
      </c>
      <c r="C18" s="15" t="inlineStr"/>
      <c r="D18" s="9" t="inlineStr">
        <is>
          <t>密度高的市优先做节点归并</t>
        </is>
      </c>
    </row>
    <row r="20" ht="28" customHeight="1">
      <c r="A20" s="16" t="inlineStr">
        <is>
          <t>综合分（简单平均）</t>
        </is>
      </c>
      <c r="B20" s="17">
        <f>AVERAGE(C4,C5,C6,C7,C8,C9,C10,C11,C12,C13,C16,C17)</f>
        <v/>
      </c>
      <c r="C20" s="18">
        <f>IF(B20&gt;=4,"建议试点",IF(B20&gt;=3,"可培育",IF(B20&gt;=2,"信息不足/暂缓","暂缓")))</f>
        <v/>
      </c>
      <c r="D20" s="19" t="inlineStr">
        <is>
          <t>≥4 试点；3 培育。光伏进发电类，不拿来凑负荷 1MW。</t>
        </is>
      </c>
    </row>
    <row r="21" ht="40" customHeight="1">
      <c r="A21" s="20" t="inlineStr">
        <is>
          <t>路径建议（自动）</t>
        </is>
      </c>
      <c r="B21" s="21">
        <f>IF(B10&gt;=1000,"负荷+储能粗可调已够 1MW 实践门槛，下一步按 220kV 拆单元。","负荷+储能粗可调还差 "&amp;TEXT(MAX(0,1000-B10),"0")&amp;" kW。")&amp;IF(B8&gt;0," 光伏 "&amp;TEXT(B8,"0")&amp;" kWp 按发电类另组，勿与充电混同一户号。","")&amp;IF(B16="有（未到期）","  ⚠ 已绑其他 VPP，合同期内勿重复聚合。","")</f>
        <v/>
      </c>
    </row>
    <row r="22" ht="22" customHeight="1">
      <c r="A22" s="2" t="inlineStr">
        <is>
          <t>下一步（内部）</t>
        </is>
      </c>
    </row>
    <row r="23" ht="64" customHeight="1">
      <c r="A23" s="22" t="inlineStr">
        <is>
          <t>1）户号发山东售电：核 220kV 节点、是否独立户、是否已绑其他 VPP。  2）按节点分堆：负荷（充电+可调）与储能可同堆估算；光伏尽量单列发电类单元，勿与负荷混户。  3）有效可调 ≥1000kW 的堆做试点。节点散或合表多 → 只做售电绑定、暂缓 VPP。</t>
        </is>
      </c>
    </row>
  </sheetData>
  <mergeCells count="6">
    <mergeCell ref="A1:D1"/>
    <mergeCell ref="A23:D23"/>
    <mergeCell ref="A22:D22"/>
    <mergeCell ref="A15:D15"/>
    <mergeCell ref="B21:D21"/>
    <mergeCell ref="A2:D2"/>
  </mergeCells>
  <conditionalFormatting sqref="C4:C20">
    <cfRule type="colorScale" priority="1">
      <colorScale>
        <cfvo type="num" val="1"/>
        <cfvo type="num" val="3"/>
        <cfvo type="num" val="5"/>
        <color rgb="00FECACA"/>
        <color rgb="00FDE68A"/>
        <color rgb="0086EFAC"/>
      </colorScale>
    </cfRule>
  </conditionalFormatting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2026-08-31T03:25:59Z</dcterms:created>
  <dcterms:modified xmlns:dcterms="http://purl.org/dc/terms/" xmlns:xsi="http://www.w3.org/2001/XMLSchema-instance" xsi:type="dcterms:W3CDTF">2026-08-31T03:25:59Z</dcterms:modified>
</cp:coreProperties>
</file>