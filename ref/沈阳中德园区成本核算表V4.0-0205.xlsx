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joelle.qiu\Downloads\V2G\"/>
    </mc:Choice>
  </mc:AlternateContent>
  <xr:revisionPtr revIDLastSave="0" documentId="13_ncr:1_{A2BC6D2A-3B70-4E38-B0FF-1D819E3A5166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汇总表" sheetId="2" r:id="rId1"/>
    <sheet name="光伏工程" sheetId="3" r:id="rId2"/>
    <sheet name="储能工程" sheetId="4" r:id="rId3"/>
    <sheet name="充电桩工程" sheetId="5" r:id="rId4"/>
    <sheet name="调整系数" sheetId="6" r:id="rId5"/>
    <sheet name="微网方案" sheetId="7" r:id="rId6"/>
  </sheets>
  <definedNames>
    <definedName name="_xlnm._FilterDatabase" localSheetId="3" hidden="1">充电桩工程!$B$4:$L$72</definedName>
    <definedName name="_xlnm._FilterDatabase" localSheetId="2" hidden="1">储能工程!$B$4:$L$136</definedName>
    <definedName name="_xlnm._FilterDatabase" localSheetId="1" hidden="1">光伏工程!$B$4:$L$225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9" i="4" l="1"/>
  <c r="H101" i="3"/>
  <c r="L73" i="5"/>
  <c r="I52" i="5"/>
  <c r="L52" i="5" s="1"/>
  <c r="I51" i="5"/>
  <c r="L51" i="5" s="1"/>
  <c r="I45" i="5"/>
  <c r="L45" i="5" s="1"/>
  <c r="H45" i="5"/>
  <c r="K45" i="5" s="1"/>
  <c r="F37" i="5"/>
  <c r="H31" i="5"/>
  <c r="K31" i="5" s="1"/>
  <c r="I30" i="5"/>
  <c r="L30" i="5" s="1"/>
  <c r="H28" i="5"/>
  <c r="K28" i="5" s="1"/>
  <c r="I27" i="5"/>
  <c r="L27" i="5" s="1"/>
  <c r="J18" i="5"/>
  <c r="J17" i="5"/>
  <c r="J16" i="5"/>
  <c r="J14" i="5"/>
  <c r="I14" i="5"/>
  <c r="L14" i="5" s="1"/>
  <c r="J13" i="5"/>
  <c r="I13" i="5"/>
  <c r="L13" i="5" s="1"/>
  <c r="J12" i="5"/>
  <c r="J9" i="5"/>
  <c r="J8" i="5"/>
  <c r="J7" i="5"/>
  <c r="E7" i="2" s="1"/>
  <c r="E17" i="2" s="1"/>
  <c r="J6" i="5"/>
  <c r="J5" i="5"/>
  <c r="M3" i="5"/>
  <c r="I65" i="5" s="1"/>
  <c r="L65" i="5" s="1"/>
  <c r="L137" i="4"/>
  <c r="L135" i="4"/>
  <c r="L134" i="4"/>
  <c r="L133" i="4"/>
  <c r="L131" i="4"/>
  <c r="K129" i="4"/>
  <c r="J129" i="4"/>
  <c r="L128" i="4"/>
  <c r="I128" i="4"/>
  <c r="L127" i="4"/>
  <c r="I127" i="4"/>
  <c r="L125" i="4"/>
  <c r="I125" i="4"/>
  <c r="L124" i="4"/>
  <c r="I124" i="4"/>
  <c r="L123" i="4"/>
  <c r="I123" i="4"/>
  <c r="L122" i="4"/>
  <c r="I122" i="4"/>
  <c r="L121" i="4"/>
  <c r="I121" i="4"/>
  <c r="L119" i="4"/>
  <c r="I119" i="4"/>
  <c r="L118" i="4"/>
  <c r="I118" i="4"/>
  <c r="L116" i="4"/>
  <c r="I116" i="4"/>
  <c r="L115" i="4"/>
  <c r="I115" i="4"/>
  <c r="L114" i="4"/>
  <c r="I114" i="4"/>
  <c r="L113" i="4"/>
  <c r="I113" i="4"/>
  <c r="L112" i="4"/>
  <c r="I112" i="4"/>
  <c r="L110" i="4"/>
  <c r="I110" i="4"/>
  <c r="L109" i="4"/>
  <c r="I109" i="4"/>
  <c r="L108" i="4"/>
  <c r="I108" i="4"/>
  <c r="L107" i="4"/>
  <c r="I107" i="4"/>
  <c r="L105" i="4"/>
  <c r="I105" i="4"/>
  <c r="L104" i="4"/>
  <c r="I104" i="4"/>
  <c r="L103" i="4"/>
  <c r="K103" i="4"/>
  <c r="I103" i="4"/>
  <c r="H103" i="4"/>
  <c r="L102" i="4"/>
  <c r="K102" i="4"/>
  <c r="I102" i="4"/>
  <c r="H102" i="4"/>
  <c r="L101" i="4"/>
  <c r="K101" i="4"/>
  <c r="I101" i="4"/>
  <c r="H101" i="4"/>
  <c r="L100" i="4"/>
  <c r="K100" i="4"/>
  <c r="I100" i="4"/>
  <c r="H100" i="4"/>
  <c r="L99" i="4"/>
  <c r="K99" i="4"/>
  <c r="I99" i="4"/>
  <c r="H99" i="4"/>
  <c r="L96" i="4"/>
  <c r="K96" i="4"/>
  <c r="I96" i="4"/>
  <c r="H96" i="4"/>
  <c r="L95" i="4"/>
  <c r="K95" i="4"/>
  <c r="I95" i="4"/>
  <c r="H95" i="4"/>
  <c r="L94" i="4"/>
  <c r="L129" i="4" s="1"/>
  <c r="K94" i="4"/>
  <c r="I94" i="4"/>
  <c r="H94" i="4"/>
  <c r="L93" i="4"/>
  <c r="K93" i="4"/>
  <c r="I93" i="4"/>
  <c r="H93" i="4"/>
  <c r="L92" i="4"/>
  <c r="K92" i="4"/>
  <c r="I92" i="4"/>
  <c r="H92" i="4"/>
  <c r="L91" i="4"/>
  <c r="K91" i="4"/>
  <c r="I91" i="4"/>
  <c r="H91" i="4"/>
  <c r="L90" i="4"/>
  <c r="K90" i="4"/>
  <c r="I90" i="4"/>
  <c r="H90" i="4"/>
  <c r="L88" i="4"/>
  <c r="K88" i="4"/>
  <c r="I88" i="4"/>
  <c r="H88" i="4"/>
  <c r="L87" i="4"/>
  <c r="K87" i="4"/>
  <c r="I87" i="4"/>
  <c r="H87" i="4"/>
  <c r="L85" i="4"/>
  <c r="K85" i="4"/>
  <c r="I85" i="4"/>
  <c r="H85" i="4"/>
  <c r="L84" i="4"/>
  <c r="K84" i="4"/>
  <c r="I84" i="4"/>
  <c r="H84" i="4"/>
  <c r="L83" i="4"/>
  <c r="K83" i="4"/>
  <c r="I83" i="4"/>
  <c r="H83" i="4"/>
  <c r="L81" i="4"/>
  <c r="K81" i="4"/>
  <c r="I81" i="4"/>
  <c r="H81" i="4"/>
  <c r="L80" i="4"/>
  <c r="K80" i="4"/>
  <c r="I80" i="4"/>
  <c r="H80" i="4"/>
  <c r="L79" i="4"/>
  <c r="K79" i="4"/>
  <c r="I79" i="4"/>
  <c r="H79" i="4"/>
  <c r="L78" i="4"/>
  <c r="K78" i="4"/>
  <c r="I78" i="4"/>
  <c r="H78" i="4"/>
  <c r="L77" i="4"/>
  <c r="K77" i="4"/>
  <c r="I77" i="4"/>
  <c r="H77" i="4"/>
  <c r="L76" i="4"/>
  <c r="K76" i="4"/>
  <c r="I76" i="4"/>
  <c r="H76" i="4"/>
  <c r="L75" i="4"/>
  <c r="K75" i="4"/>
  <c r="I75" i="4"/>
  <c r="H75" i="4"/>
  <c r="L74" i="4"/>
  <c r="K74" i="4"/>
  <c r="I74" i="4"/>
  <c r="H74" i="4"/>
  <c r="L73" i="4"/>
  <c r="K73" i="4"/>
  <c r="I73" i="4"/>
  <c r="H73" i="4"/>
  <c r="L72" i="4"/>
  <c r="K72" i="4"/>
  <c r="I72" i="4"/>
  <c r="H72" i="4"/>
  <c r="L71" i="4"/>
  <c r="K71" i="4"/>
  <c r="I71" i="4"/>
  <c r="H71" i="4"/>
  <c r="L70" i="4"/>
  <c r="K70" i="4"/>
  <c r="I70" i="4"/>
  <c r="H70" i="4"/>
  <c r="L69" i="4"/>
  <c r="K69" i="4"/>
  <c r="I69" i="4"/>
  <c r="H69" i="4"/>
  <c r="L68" i="4"/>
  <c r="K68" i="4"/>
  <c r="I68" i="4"/>
  <c r="H68" i="4"/>
  <c r="J65" i="4"/>
  <c r="L64" i="4"/>
  <c r="J64" i="4"/>
  <c r="I64" i="4"/>
  <c r="L63" i="4"/>
  <c r="J63" i="4"/>
  <c r="I63" i="4"/>
  <c r="L62" i="4"/>
  <c r="J62" i="4"/>
  <c r="I62" i="4"/>
  <c r="L61" i="4"/>
  <c r="J61" i="4"/>
  <c r="I61" i="4"/>
  <c r="L60" i="4"/>
  <c r="J60" i="4"/>
  <c r="I60" i="4"/>
  <c r="L58" i="4"/>
  <c r="K58" i="4"/>
  <c r="I58" i="4"/>
  <c r="H58" i="4"/>
  <c r="L57" i="4"/>
  <c r="K57" i="4"/>
  <c r="I57" i="4"/>
  <c r="H57" i="4"/>
  <c r="L56" i="4"/>
  <c r="K56" i="4"/>
  <c r="I56" i="4"/>
  <c r="H56" i="4"/>
  <c r="L55" i="4"/>
  <c r="K55" i="4"/>
  <c r="I55" i="4"/>
  <c r="H55" i="4"/>
  <c r="L54" i="4"/>
  <c r="J54" i="4"/>
  <c r="I54" i="4"/>
  <c r="L53" i="4"/>
  <c r="J53" i="4"/>
  <c r="I53" i="4"/>
  <c r="L52" i="4"/>
  <c r="J52" i="4"/>
  <c r="I52" i="4"/>
  <c r="L51" i="4"/>
  <c r="J51" i="4"/>
  <c r="I51" i="4"/>
  <c r="L50" i="4"/>
  <c r="J50" i="4"/>
  <c r="I50" i="4"/>
  <c r="L49" i="4"/>
  <c r="J49" i="4"/>
  <c r="I49" i="4"/>
  <c r="L48" i="4"/>
  <c r="J48" i="4"/>
  <c r="I48" i="4"/>
  <c r="L47" i="4"/>
  <c r="J47" i="4"/>
  <c r="I47" i="4"/>
  <c r="L46" i="4"/>
  <c r="J46" i="4"/>
  <c r="I46" i="4"/>
  <c r="L45" i="4"/>
  <c r="J45" i="4"/>
  <c r="I45" i="4"/>
  <c r="L44" i="4"/>
  <c r="J44" i="4"/>
  <c r="I44" i="4"/>
  <c r="L43" i="4"/>
  <c r="J43" i="4"/>
  <c r="I43" i="4"/>
  <c r="L42" i="4"/>
  <c r="J42" i="4"/>
  <c r="I42" i="4"/>
  <c r="L41" i="4"/>
  <c r="J41" i="4"/>
  <c r="I41" i="4"/>
  <c r="L38" i="4"/>
  <c r="J38" i="4"/>
  <c r="I38" i="4"/>
  <c r="G38" i="4"/>
  <c r="L37" i="4"/>
  <c r="J37" i="4"/>
  <c r="I37" i="4"/>
  <c r="G37" i="4"/>
  <c r="L36" i="4"/>
  <c r="J36" i="4"/>
  <c r="I36" i="4"/>
  <c r="G36" i="4"/>
  <c r="L34" i="4"/>
  <c r="J34" i="4"/>
  <c r="I34" i="4"/>
  <c r="L33" i="4"/>
  <c r="J33" i="4"/>
  <c r="I33" i="4"/>
  <c r="L31" i="4"/>
  <c r="J31" i="4"/>
  <c r="I31" i="4"/>
  <c r="L30" i="4"/>
  <c r="J30" i="4"/>
  <c r="I30" i="4"/>
  <c r="L29" i="4"/>
  <c r="J29" i="4"/>
  <c r="I29" i="4"/>
  <c r="L28" i="4"/>
  <c r="J28" i="4"/>
  <c r="I28" i="4"/>
  <c r="L27" i="4"/>
  <c r="J27" i="4"/>
  <c r="I27" i="4"/>
  <c r="L25" i="4"/>
  <c r="J25" i="4"/>
  <c r="I25" i="4"/>
  <c r="L24" i="4"/>
  <c r="J24" i="4"/>
  <c r="I24" i="4"/>
  <c r="L23" i="4"/>
  <c r="J23" i="4"/>
  <c r="I23" i="4"/>
  <c r="L22" i="4"/>
  <c r="J22" i="4"/>
  <c r="I22" i="4"/>
  <c r="L21" i="4"/>
  <c r="J21" i="4"/>
  <c r="I21" i="4"/>
  <c r="L20" i="4"/>
  <c r="J20" i="4"/>
  <c r="I20" i="4"/>
  <c r="L19" i="4"/>
  <c r="J19" i="4"/>
  <c r="I19" i="4"/>
  <c r="L18" i="4"/>
  <c r="J18" i="4"/>
  <c r="I18" i="4"/>
  <c r="L17" i="4"/>
  <c r="J17" i="4"/>
  <c r="I17" i="4"/>
  <c r="L16" i="4"/>
  <c r="J16" i="4"/>
  <c r="I16" i="4"/>
  <c r="L14" i="4"/>
  <c r="J14" i="4"/>
  <c r="I14" i="4"/>
  <c r="L13" i="4"/>
  <c r="J13" i="4"/>
  <c r="I13" i="4"/>
  <c r="L12" i="4"/>
  <c r="J12" i="4"/>
  <c r="I12" i="4"/>
  <c r="L11" i="4"/>
  <c r="J11" i="4"/>
  <c r="I11" i="4"/>
  <c r="L10" i="4"/>
  <c r="J10" i="4"/>
  <c r="I10" i="4"/>
  <c r="L9" i="4"/>
  <c r="J9" i="4"/>
  <c r="I9" i="4"/>
  <c r="L8" i="4"/>
  <c r="J8" i="4"/>
  <c r="I8" i="4"/>
  <c r="L5" i="4"/>
  <c r="J5" i="4"/>
  <c r="I5" i="4"/>
  <c r="G5" i="4"/>
  <c r="M3" i="4"/>
  <c r="L224" i="3"/>
  <c r="L222" i="3"/>
  <c r="L221" i="3"/>
  <c r="L220" i="3"/>
  <c r="L219" i="3"/>
  <c r="L217" i="3"/>
  <c r="L216" i="3"/>
  <c r="L215" i="3"/>
  <c r="L212" i="3"/>
  <c r="I212" i="3"/>
  <c r="L211" i="3"/>
  <c r="I211" i="3"/>
  <c r="L209" i="3"/>
  <c r="I209" i="3"/>
  <c r="L208" i="3"/>
  <c r="I208" i="3"/>
  <c r="L206" i="3"/>
  <c r="I206" i="3"/>
  <c r="L205" i="3"/>
  <c r="I205" i="3"/>
  <c r="L204" i="3"/>
  <c r="I204" i="3"/>
  <c r="L202" i="3"/>
  <c r="I202" i="3"/>
  <c r="L201" i="3"/>
  <c r="I201" i="3"/>
  <c r="L200" i="3"/>
  <c r="I200" i="3"/>
  <c r="L198" i="3"/>
  <c r="I198" i="3"/>
  <c r="L196" i="3"/>
  <c r="I196" i="3"/>
  <c r="L195" i="3"/>
  <c r="I195" i="3"/>
  <c r="L193" i="3"/>
  <c r="I193" i="3"/>
  <c r="L192" i="3"/>
  <c r="I192" i="3"/>
  <c r="L191" i="3"/>
  <c r="I191" i="3"/>
  <c r="L190" i="3"/>
  <c r="I190" i="3"/>
  <c r="L189" i="3"/>
  <c r="I189" i="3"/>
  <c r="L187" i="3"/>
  <c r="I187" i="3"/>
  <c r="L186" i="3"/>
  <c r="I186" i="3"/>
  <c r="L185" i="3"/>
  <c r="I185" i="3"/>
  <c r="L184" i="3"/>
  <c r="I184" i="3"/>
  <c r="L183" i="3"/>
  <c r="I183" i="3"/>
  <c r="L181" i="3"/>
  <c r="K181" i="3"/>
  <c r="I181" i="3"/>
  <c r="H181" i="3"/>
  <c r="L180" i="3"/>
  <c r="K180" i="3"/>
  <c r="I180" i="3"/>
  <c r="H180" i="3"/>
  <c r="L179" i="3"/>
  <c r="K179" i="3"/>
  <c r="I179" i="3"/>
  <c r="H179" i="3"/>
  <c r="I178" i="3"/>
  <c r="F178" i="3"/>
  <c r="L178" i="3" s="1"/>
  <c r="L177" i="3"/>
  <c r="K177" i="3"/>
  <c r="I177" i="3"/>
  <c r="H177" i="3"/>
  <c r="L176" i="3"/>
  <c r="K176" i="3"/>
  <c r="I176" i="3"/>
  <c r="H176" i="3"/>
  <c r="L174" i="3"/>
  <c r="K174" i="3"/>
  <c r="I174" i="3"/>
  <c r="H174" i="3"/>
  <c r="L173" i="3"/>
  <c r="K173" i="3"/>
  <c r="I173" i="3"/>
  <c r="H173" i="3"/>
  <c r="L172" i="3"/>
  <c r="K172" i="3"/>
  <c r="I172" i="3"/>
  <c r="H172" i="3"/>
  <c r="L170" i="3"/>
  <c r="I170" i="3"/>
  <c r="L169" i="3"/>
  <c r="I169" i="3"/>
  <c r="L168" i="3"/>
  <c r="I168" i="3"/>
  <c r="L167" i="3"/>
  <c r="K167" i="3"/>
  <c r="I167" i="3"/>
  <c r="H167" i="3"/>
  <c r="L166" i="3"/>
  <c r="K166" i="3"/>
  <c r="I166" i="3"/>
  <c r="H166" i="3"/>
  <c r="L165" i="3"/>
  <c r="K165" i="3"/>
  <c r="I165" i="3"/>
  <c r="H165" i="3"/>
  <c r="L164" i="3"/>
  <c r="K164" i="3"/>
  <c r="I164" i="3"/>
  <c r="H164" i="3"/>
  <c r="L163" i="3"/>
  <c r="K163" i="3"/>
  <c r="I163" i="3"/>
  <c r="H163" i="3"/>
  <c r="L160" i="3"/>
  <c r="K160" i="3"/>
  <c r="I160" i="3"/>
  <c r="H160" i="3"/>
  <c r="L159" i="3"/>
  <c r="K159" i="3"/>
  <c r="I159" i="3"/>
  <c r="H159" i="3"/>
  <c r="L158" i="3"/>
  <c r="K158" i="3"/>
  <c r="I158" i="3"/>
  <c r="H158" i="3"/>
  <c r="L157" i="3"/>
  <c r="K157" i="3"/>
  <c r="I157" i="3"/>
  <c r="H157" i="3"/>
  <c r="L156" i="3"/>
  <c r="K156" i="3"/>
  <c r="I156" i="3"/>
  <c r="H156" i="3"/>
  <c r="L155" i="3"/>
  <c r="K155" i="3"/>
  <c r="I155" i="3"/>
  <c r="H155" i="3"/>
  <c r="L154" i="3"/>
  <c r="K154" i="3"/>
  <c r="I154" i="3"/>
  <c r="H154" i="3"/>
  <c r="L153" i="3"/>
  <c r="K153" i="3"/>
  <c r="I153" i="3"/>
  <c r="H153" i="3"/>
  <c r="L152" i="3"/>
  <c r="K152" i="3"/>
  <c r="I152" i="3"/>
  <c r="H152" i="3"/>
  <c r="L151" i="3"/>
  <c r="K151" i="3"/>
  <c r="I151" i="3"/>
  <c r="H151" i="3"/>
  <c r="L150" i="3"/>
  <c r="K150" i="3"/>
  <c r="I150" i="3"/>
  <c r="H150" i="3"/>
  <c r="L149" i="3"/>
  <c r="K149" i="3"/>
  <c r="I149" i="3"/>
  <c r="H149" i="3"/>
  <c r="L148" i="3"/>
  <c r="K148" i="3"/>
  <c r="I148" i="3"/>
  <c r="H148" i="3"/>
  <c r="L147" i="3"/>
  <c r="K147" i="3"/>
  <c r="I147" i="3"/>
  <c r="H147" i="3"/>
  <c r="L146" i="3"/>
  <c r="K146" i="3"/>
  <c r="I146" i="3"/>
  <c r="H146" i="3"/>
  <c r="L144" i="3"/>
  <c r="K144" i="3"/>
  <c r="I144" i="3"/>
  <c r="H144" i="3"/>
  <c r="L143" i="3"/>
  <c r="K143" i="3"/>
  <c r="I143" i="3"/>
  <c r="H143" i="3"/>
  <c r="L142" i="3"/>
  <c r="K142" i="3"/>
  <c r="I142" i="3"/>
  <c r="H142" i="3"/>
  <c r="L141" i="3"/>
  <c r="K141" i="3"/>
  <c r="I141" i="3"/>
  <c r="H141" i="3"/>
  <c r="L140" i="3"/>
  <c r="K140" i="3"/>
  <c r="I140" i="3"/>
  <c r="H140" i="3"/>
  <c r="L139" i="3"/>
  <c r="K139" i="3"/>
  <c r="I139" i="3"/>
  <c r="H139" i="3"/>
  <c r="L138" i="3"/>
  <c r="K138" i="3"/>
  <c r="I138" i="3"/>
  <c r="H138" i="3"/>
  <c r="L136" i="3"/>
  <c r="K136" i="3"/>
  <c r="I136" i="3"/>
  <c r="H136" i="3"/>
  <c r="L135" i="3"/>
  <c r="K135" i="3"/>
  <c r="I135" i="3"/>
  <c r="H135" i="3"/>
  <c r="L133" i="3"/>
  <c r="K133" i="3"/>
  <c r="I133" i="3"/>
  <c r="H133" i="3"/>
  <c r="L132" i="3"/>
  <c r="K132" i="3"/>
  <c r="I132" i="3"/>
  <c r="H132" i="3"/>
  <c r="L131" i="3"/>
  <c r="K131" i="3"/>
  <c r="I131" i="3"/>
  <c r="H131" i="3"/>
  <c r="L130" i="3"/>
  <c r="K130" i="3"/>
  <c r="I130" i="3"/>
  <c r="H130" i="3"/>
  <c r="L129" i="3"/>
  <c r="K129" i="3"/>
  <c r="I129" i="3"/>
  <c r="H129" i="3"/>
  <c r="L128" i="3"/>
  <c r="K128" i="3"/>
  <c r="I128" i="3"/>
  <c r="H128" i="3"/>
  <c r="L127" i="3"/>
  <c r="K127" i="3"/>
  <c r="I127" i="3"/>
  <c r="H127" i="3"/>
  <c r="L126" i="3"/>
  <c r="K126" i="3"/>
  <c r="I126" i="3"/>
  <c r="H126" i="3"/>
  <c r="L125" i="3"/>
  <c r="K125" i="3"/>
  <c r="I125" i="3"/>
  <c r="H125" i="3"/>
  <c r="L124" i="3"/>
  <c r="K124" i="3"/>
  <c r="I124" i="3"/>
  <c r="H124" i="3"/>
  <c r="L122" i="3"/>
  <c r="K122" i="3"/>
  <c r="I122" i="3"/>
  <c r="H122" i="3"/>
  <c r="L121" i="3"/>
  <c r="K121" i="3"/>
  <c r="I121" i="3"/>
  <c r="H121" i="3"/>
  <c r="L120" i="3"/>
  <c r="K120" i="3"/>
  <c r="I120" i="3"/>
  <c r="H120" i="3"/>
  <c r="L119" i="3"/>
  <c r="K119" i="3"/>
  <c r="I119" i="3"/>
  <c r="H119" i="3"/>
  <c r="L118" i="3"/>
  <c r="K118" i="3"/>
  <c r="I118" i="3"/>
  <c r="H118" i="3"/>
  <c r="L117" i="3"/>
  <c r="K117" i="3"/>
  <c r="I117" i="3"/>
  <c r="H117" i="3"/>
  <c r="L116" i="3"/>
  <c r="K116" i="3"/>
  <c r="I116" i="3"/>
  <c r="H116" i="3"/>
  <c r="L115" i="3"/>
  <c r="K115" i="3"/>
  <c r="I115" i="3"/>
  <c r="H115" i="3"/>
  <c r="L114" i="3"/>
  <c r="K114" i="3"/>
  <c r="I114" i="3"/>
  <c r="H114" i="3"/>
  <c r="L113" i="3"/>
  <c r="K113" i="3"/>
  <c r="I113" i="3"/>
  <c r="H113" i="3"/>
  <c r="L112" i="3"/>
  <c r="K112" i="3"/>
  <c r="I112" i="3"/>
  <c r="H112" i="3"/>
  <c r="L111" i="3"/>
  <c r="K111" i="3"/>
  <c r="I111" i="3"/>
  <c r="H111" i="3"/>
  <c r="L110" i="3"/>
  <c r="K110" i="3"/>
  <c r="I110" i="3"/>
  <c r="H110" i="3"/>
  <c r="L109" i="3"/>
  <c r="K109" i="3"/>
  <c r="I109" i="3"/>
  <c r="H109" i="3"/>
  <c r="L108" i="3"/>
  <c r="K108" i="3"/>
  <c r="I108" i="3"/>
  <c r="H108" i="3"/>
  <c r="L107" i="3"/>
  <c r="K107" i="3"/>
  <c r="I107" i="3"/>
  <c r="H107" i="3"/>
  <c r="L106" i="3"/>
  <c r="K106" i="3"/>
  <c r="I106" i="3"/>
  <c r="H106" i="3"/>
  <c r="L105" i="3"/>
  <c r="K105" i="3"/>
  <c r="I105" i="3"/>
  <c r="H105" i="3"/>
  <c r="L104" i="3"/>
  <c r="K104" i="3"/>
  <c r="I104" i="3"/>
  <c r="H104" i="3"/>
  <c r="L103" i="3"/>
  <c r="K103" i="3"/>
  <c r="I103" i="3"/>
  <c r="H103" i="3"/>
  <c r="L102" i="3"/>
  <c r="K102" i="3"/>
  <c r="I102" i="3"/>
  <c r="H102" i="3"/>
  <c r="I101" i="3"/>
  <c r="L99" i="3"/>
  <c r="K99" i="3"/>
  <c r="I99" i="3"/>
  <c r="H99" i="3"/>
  <c r="L98" i="3"/>
  <c r="K98" i="3"/>
  <c r="I98" i="3"/>
  <c r="H98" i="3"/>
  <c r="J95" i="3"/>
  <c r="J94" i="3"/>
  <c r="L92" i="3"/>
  <c r="K92" i="3"/>
  <c r="I92" i="3"/>
  <c r="H92" i="3"/>
  <c r="L91" i="3"/>
  <c r="K91" i="3"/>
  <c r="I91" i="3"/>
  <c r="H91" i="3"/>
  <c r="L90" i="3"/>
  <c r="J90" i="3"/>
  <c r="I90" i="3"/>
  <c r="L89" i="3"/>
  <c r="J89" i="3"/>
  <c r="I89" i="3"/>
  <c r="L88" i="3"/>
  <c r="J88" i="3"/>
  <c r="I88" i="3"/>
  <c r="L87" i="3"/>
  <c r="J87" i="3"/>
  <c r="I87" i="3"/>
  <c r="L86" i="3"/>
  <c r="J86" i="3"/>
  <c r="I86" i="3"/>
  <c r="L85" i="3"/>
  <c r="J85" i="3"/>
  <c r="I85" i="3"/>
  <c r="L84" i="3"/>
  <c r="J84" i="3"/>
  <c r="I84" i="3"/>
  <c r="L83" i="3"/>
  <c r="J83" i="3"/>
  <c r="I83" i="3"/>
  <c r="L81" i="3"/>
  <c r="K81" i="3"/>
  <c r="I81" i="3"/>
  <c r="H81" i="3"/>
  <c r="L80" i="3"/>
  <c r="K80" i="3"/>
  <c r="I80" i="3"/>
  <c r="H80" i="3"/>
  <c r="L79" i="3"/>
  <c r="K79" i="3"/>
  <c r="I79" i="3"/>
  <c r="H79" i="3"/>
  <c r="L78" i="3"/>
  <c r="K78" i="3"/>
  <c r="I78" i="3"/>
  <c r="H78" i="3"/>
  <c r="L77" i="3"/>
  <c r="J77" i="3"/>
  <c r="I77" i="3"/>
  <c r="L76" i="3"/>
  <c r="J76" i="3"/>
  <c r="I76" i="3"/>
  <c r="L75" i="3"/>
  <c r="J75" i="3"/>
  <c r="I75" i="3"/>
  <c r="L74" i="3"/>
  <c r="J74" i="3"/>
  <c r="I74" i="3"/>
  <c r="L73" i="3"/>
  <c r="J73" i="3"/>
  <c r="I73" i="3"/>
  <c r="L72" i="3"/>
  <c r="J72" i="3"/>
  <c r="I72" i="3"/>
  <c r="L71" i="3"/>
  <c r="J71" i="3"/>
  <c r="I71" i="3"/>
  <c r="L70" i="3"/>
  <c r="J70" i="3"/>
  <c r="I70" i="3"/>
  <c r="L69" i="3"/>
  <c r="J69" i="3"/>
  <c r="I69" i="3"/>
  <c r="L68" i="3"/>
  <c r="J68" i="3"/>
  <c r="I68" i="3"/>
  <c r="L67" i="3"/>
  <c r="J67" i="3"/>
  <c r="I67" i="3"/>
  <c r="L66" i="3"/>
  <c r="J66" i="3"/>
  <c r="I66" i="3"/>
  <c r="L65" i="3"/>
  <c r="J65" i="3"/>
  <c r="I65" i="3"/>
  <c r="L64" i="3"/>
  <c r="J64" i="3"/>
  <c r="I64" i="3"/>
  <c r="L63" i="3"/>
  <c r="J63" i="3"/>
  <c r="I63" i="3"/>
  <c r="L62" i="3"/>
  <c r="J62" i="3"/>
  <c r="I62" i="3"/>
  <c r="L59" i="3"/>
  <c r="J59" i="3"/>
  <c r="I59" i="3"/>
  <c r="G59" i="3"/>
  <c r="L58" i="3"/>
  <c r="J58" i="3"/>
  <c r="I58" i="3"/>
  <c r="G58" i="3"/>
  <c r="L57" i="3"/>
  <c r="J57" i="3"/>
  <c r="I57" i="3"/>
  <c r="G57" i="3"/>
  <c r="L55" i="3"/>
  <c r="J55" i="3"/>
  <c r="I55" i="3"/>
  <c r="L54" i="3"/>
  <c r="J54" i="3"/>
  <c r="I54" i="3"/>
  <c r="L52" i="3"/>
  <c r="J52" i="3"/>
  <c r="I52" i="3"/>
  <c r="L51" i="3"/>
  <c r="J51" i="3"/>
  <c r="I51" i="3"/>
  <c r="L50" i="3"/>
  <c r="J50" i="3"/>
  <c r="I50" i="3"/>
  <c r="L49" i="3"/>
  <c r="J49" i="3"/>
  <c r="I49" i="3"/>
  <c r="L48" i="3"/>
  <c r="J48" i="3"/>
  <c r="I48" i="3"/>
  <c r="L47" i="3"/>
  <c r="J47" i="3"/>
  <c r="I47" i="3"/>
  <c r="L45" i="3"/>
  <c r="J45" i="3"/>
  <c r="I45" i="3"/>
  <c r="L44" i="3"/>
  <c r="J44" i="3"/>
  <c r="I44" i="3"/>
  <c r="L43" i="3"/>
  <c r="J43" i="3"/>
  <c r="I43" i="3"/>
  <c r="L42" i="3"/>
  <c r="J42" i="3"/>
  <c r="I42" i="3"/>
  <c r="L41" i="3"/>
  <c r="J41" i="3"/>
  <c r="I41" i="3"/>
  <c r="L40" i="3"/>
  <c r="J40" i="3"/>
  <c r="I40" i="3"/>
  <c r="L39" i="3"/>
  <c r="J39" i="3"/>
  <c r="I39" i="3"/>
  <c r="L38" i="3"/>
  <c r="J38" i="3"/>
  <c r="I38" i="3"/>
  <c r="L37" i="3"/>
  <c r="J37" i="3"/>
  <c r="I37" i="3"/>
  <c r="L36" i="3"/>
  <c r="J36" i="3"/>
  <c r="I36" i="3"/>
  <c r="L34" i="3"/>
  <c r="J34" i="3"/>
  <c r="I34" i="3"/>
  <c r="L33" i="3"/>
  <c r="J33" i="3"/>
  <c r="I33" i="3"/>
  <c r="L32" i="3"/>
  <c r="J32" i="3"/>
  <c r="I32" i="3"/>
  <c r="L31" i="3"/>
  <c r="J31" i="3"/>
  <c r="I31" i="3"/>
  <c r="L30" i="3"/>
  <c r="J30" i="3"/>
  <c r="I30" i="3"/>
  <c r="L29" i="3"/>
  <c r="J29" i="3"/>
  <c r="I29" i="3"/>
  <c r="L28" i="3"/>
  <c r="J28" i="3"/>
  <c r="L27" i="3"/>
  <c r="J27" i="3"/>
  <c r="I27" i="3"/>
  <c r="L25" i="3"/>
  <c r="J25" i="3"/>
  <c r="I25" i="3"/>
  <c r="L24" i="3"/>
  <c r="J24" i="3"/>
  <c r="I24" i="3"/>
  <c r="L23" i="3"/>
  <c r="J23" i="3"/>
  <c r="I23" i="3"/>
  <c r="L22" i="3"/>
  <c r="J22" i="3"/>
  <c r="I22" i="3"/>
  <c r="L21" i="3"/>
  <c r="J21" i="3"/>
  <c r="I21" i="3"/>
  <c r="L20" i="3"/>
  <c r="J20" i="3"/>
  <c r="I20" i="3"/>
  <c r="L19" i="3"/>
  <c r="J19" i="3"/>
  <c r="I19" i="3"/>
  <c r="L18" i="3"/>
  <c r="J18" i="3"/>
  <c r="I18" i="3"/>
  <c r="L17" i="3"/>
  <c r="J17" i="3"/>
  <c r="I17" i="3"/>
  <c r="L16" i="3"/>
  <c r="J16" i="3"/>
  <c r="I16" i="3"/>
  <c r="L15" i="3"/>
  <c r="J15" i="3"/>
  <c r="I15" i="3"/>
  <c r="L14" i="3"/>
  <c r="J14" i="3"/>
  <c r="I14" i="3"/>
  <c r="L13" i="3"/>
  <c r="J13" i="3"/>
  <c r="I13" i="3"/>
  <c r="L12" i="3"/>
  <c r="J12" i="3"/>
  <c r="I12" i="3"/>
  <c r="L9" i="3"/>
  <c r="I9" i="3"/>
  <c r="L8" i="3"/>
  <c r="I8" i="3"/>
  <c r="L7" i="3"/>
  <c r="J7" i="3"/>
  <c r="I7" i="3"/>
  <c r="G7" i="3"/>
  <c r="L6" i="3"/>
  <c r="J6" i="3"/>
  <c r="I6" i="3"/>
  <c r="G6" i="3"/>
  <c r="N3" i="3"/>
  <c r="M3" i="3"/>
  <c r="D11" i="2"/>
  <c r="D10" i="2"/>
  <c r="D9" i="2"/>
  <c r="E6" i="2"/>
  <c r="D6" i="2"/>
  <c r="C5" i="2"/>
  <c r="J213" i="3" l="1"/>
  <c r="D5" i="2" s="1"/>
  <c r="I34" i="5"/>
  <c r="L34" i="5" s="1"/>
  <c r="I59" i="5"/>
  <c r="L59" i="5" s="1"/>
  <c r="H35" i="5"/>
  <c r="K35" i="5" s="1"/>
  <c r="I60" i="5"/>
  <c r="L60" i="5" s="1"/>
  <c r="I7" i="5"/>
  <c r="L7" i="5" s="1"/>
  <c r="I18" i="5"/>
  <c r="L18" i="5" s="1"/>
  <c r="I68" i="5"/>
  <c r="L68" i="5" s="1"/>
  <c r="H37" i="5"/>
  <c r="K37" i="5" s="1"/>
  <c r="I8" i="5"/>
  <c r="L8" i="5" s="1"/>
  <c r="H21" i="5"/>
  <c r="K21" i="5" s="1"/>
  <c r="I37" i="5"/>
  <c r="L37" i="5" s="1"/>
  <c r="I24" i="5"/>
  <c r="L24" i="5" s="1"/>
  <c r="H42" i="5"/>
  <c r="K42" i="5" s="1"/>
  <c r="H25" i="5"/>
  <c r="K25" i="5" s="1"/>
  <c r="I42" i="5"/>
  <c r="L42" i="5" s="1"/>
  <c r="I66" i="5"/>
  <c r="L66" i="5" s="1"/>
  <c r="L36" i="5"/>
  <c r="J71" i="5"/>
  <c r="D7" i="2" s="1"/>
  <c r="I21" i="5"/>
  <c r="L21" i="5" s="1"/>
  <c r="I25" i="5"/>
  <c r="L25" i="5" s="1"/>
  <c r="I28" i="5"/>
  <c r="L28" i="5" s="1"/>
  <c r="I31" i="5"/>
  <c r="L31" i="5" s="1"/>
  <c r="I35" i="5"/>
  <c r="L35" i="5" s="1"/>
  <c r="I69" i="5"/>
  <c r="L69" i="5" s="1"/>
  <c r="I5" i="5"/>
  <c r="L5" i="5" s="1"/>
  <c r="I9" i="5"/>
  <c r="L9" i="5" s="1"/>
  <c r="I16" i="5"/>
  <c r="L16" i="5" s="1"/>
  <c r="I38" i="5"/>
  <c r="L38" i="5" s="1"/>
  <c r="I43" i="5"/>
  <c r="L43" i="5" s="1"/>
  <c r="I70" i="5"/>
  <c r="L70" i="5" s="1"/>
  <c r="I46" i="5"/>
  <c r="L46" i="5" s="1"/>
  <c r="H22" i="5"/>
  <c r="K22" i="5" s="1"/>
  <c r="H26" i="5"/>
  <c r="K26" i="5" s="1"/>
  <c r="H29" i="5"/>
  <c r="K29" i="5" s="1"/>
  <c r="H33" i="5"/>
  <c r="K33" i="5" s="1"/>
  <c r="I47" i="5"/>
  <c r="L47" i="5" s="1"/>
  <c r="I55" i="5"/>
  <c r="L55" i="5" s="1"/>
  <c r="I63" i="5"/>
  <c r="L63" i="5" s="1"/>
  <c r="I54" i="5"/>
  <c r="L54" i="5" s="1"/>
  <c r="I22" i="5"/>
  <c r="L22" i="5" s="1"/>
  <c r="I26" i="5"/>
  <c r="L26" i="5" s="1"/>
  <c r="I29" i="5"/>
  <c r="L29" i="5" s="1"/>
  <c r="I33" i="5"/>
  <c r="L33" i="5" s="1"/>
  <c r="H36" i="5"/>
  <c r="K36" i="5" s="1"/>
  <c r="H38" i="5"/>
  <c r="K38" i="5" s="1"/>
  <c r="H43" i="5"/>
  <c r="K43" i="5" s="1"/>
  <c r="I62" i="5"/>
  <c r="L62" i="5" s="1"/>
  <c r="I6" i="5"/>
  <c r="L6" i="5" s="1"/>
  <c r="I12" i="5"/>
  <c r="L12" i="5" s="1"/>
  <c r="I17" i="5"/>
  <c r="L17" i="5" s="1"/>
  <c r="I36" i="5"/>
  <c r="H39" i="5"/>
  <c r="K39" i="5" s="1"/>
  <c r="H44" i="5"/>
  <c r="K44" i="5" s="1"/>
  <c r="I49" i="5"/>
  <c r="L49" i="5" s="1"/>
  <c r="I57" i="5"/>
  <c r="L57" i="5" s="1"/>
  <c r="I64" i="5"/>
  <c r="L64" i="5" s="1"/>
  <c r="I39" i="5"/>
  <c r="L39" i="5" s="1"/>
  <c r="I44" i="5"/>
  <c r="L44" i="5" s="1"/>
  <c r="H24" i="5"/>
  <c r="K24" i="5" s="1"/>
  <c r="H27" i="5"/>
  <c r="K27" i="5" s="1"/>
  <c r="H30" i="5"/>
  <c r="K30" i="5" s="1"/>
  <c r="H34" i="5"/>
  <c r="K34" i="5" s="1"/>
  <c r="I50" i="5"/>
  <c r="L50" i="5" s="1"/>
  <c r="I58" i="5"/>
  <c r="L58" i="5" s="1"/>
  <c r="E18" i="2"/>
  <c r="L213" i="3"/>
  <c r="K178" i="3"/>
  <c r="K213" i="3"/>
  <c r="K71" i="5" l="1"/>
  <c r="L71" i="5"/>
  <c r="D8" i="2" l="1"/>
  <c r="D14" i="2" s="1"/>
  <c r="D12" i="2" l="1"/>
  <c r="D15" i="2" s="1"/>
  <c r="D16" i="2" s="1"/>
  <c r="D17" i="2" s="1"/>
  <c r="D18" i="2" s="1"/>
</calcChain>
</file>

<file path=xl/sharedStrings.xml><?xml version="1.0" encoding="utf-8"?>
<sst xmlns="http://schemas.openxmlformats.org/spreadsheetml/2006/main" count="1188" uniqueCount="497">
  <si>
    <t>xx远景项目成本汇总表</t>
  </si>
  <si>
    <t>序号</t>
  </si>
  <si>
    <t>项目</t>
  </si>
  <si>
    <t>容量（Wp）</t>
  </si>
  <si>
    <t>造价（元）</t>
  </si>
  <si>
    <t>其中甲供（元）</t>
  </si>
  <si>
    <t>备注</t>
  </si>
  <si>
    <t>光伏工程设备费</t>
  </si>
  <si>
    <t>储能工程设备费</t>
  </si>
  <si>
    <t>充电桩工程设备费</t>
  </si>
  <si>
    <t>建安费</t>
  </si>
  <si>
    <t>额外要求成本</t>
  </si>
  <si>
    <t>勘察设计费</t>
  </si>
  <si>
    <t>含荷载报告</t>
  </si>
  <si>
    <t>手续费</t>
  </si>
  <si>
    <t>含接入手续办理及并网验收费用</t>
  </si>
  <si>
    <t>安措费</t>
  </si>
  <si>
    <t>安措费=（序号4）*3%</t>
  </si>
  <si>
    <t>财务费用</t>
  </si>
  <si>
    <t>根据业务模式计算</t>
  </si>
  <si>
    <t>EPC管理费及利润</t>
  </si>
  <si>
    <t>管理及利润=（序号1234）*6%，不含甲供材料</t>
  </si>
  <si>
    <t>工程保险费</t>
  </si>
  <si>
    <t>工程一切险，第三者责任险，承包商雇员险</t>
  </si>
  <si>
    <t>不可预见费</t>
  </si>
  <si>
    <t xml:space="preserve">不可预见费=（序号123456789）*1.5%，含甲供材料                                           </t>
  </si>
  <si>
    <t>合计</t>
  </si>
  <si>
    <t>每Wp造价</t>
  </si>
  <si>
    <t>光伏工程</t>
  </si>
  <si>
    <t>分类</t>
  </si>
  <si>
    <t>项目名称</t>
  </si>
  <si>
    <t>特征描述</t>
  </si>
  <si>
    <t>单位</t>
  </si>
  <si>
    <t>工程量</t>
  </si>
  <si>
    <t>综合单价</t>
  </si>
  <si>
    <t>合价</t>
  </si>
  <si>
    <t>容量</t>
  </si>
  <si>
    <t>综合单价系数</t>
  </si>
  <si>
    <t>设备费</t>
  </si>
  <si>
    <t>主材费</t>
  </si>
  <si>
    <t>光伏设备及建安成本</t>
  </si>
  <si>
    <t>光伏阵列</t>
  </si>
  <si>
    <t>光伏组件及安装</t>
  </si>
  <si>
    <t>组件功率：620Wp（TOPCon一线）</t>
  </si>
  <si>
    <t>块</t>
  </si>
  <si>
    <t>组件功率：Wp（BC一线）</t>
  </si>
  <si>
    <t>组件排泥器</t>
  </si>
  <si>
    <t>个</t>
  </si>
  <si>
    <t>MC4接头</t>
  </si>
  <si>
    <t>组件串*4</t>
  </si>
  <si>
    <t>套</t>
  </si>
  <si>
    <t>变配电装置</t>
  </si>
  <si>
    <t>逆变器</t>
  </si>
  <si>
    <t>组串逆变器</t>
  </si>
  <si>
    <t>华为50KW</t>
  </si>
  <si>
    <t>台</t>
  </si>
  <si>
    <t>华为100KW</t>
  </si>
  <si>
    <t>华为110KW</t>
  </si>
  <si>
    <t>华为150KW</t>
  </si>
  <si>
    <t>华为300KW</t>
  </si>
  <si>
    <t>阳光110kW</t>
  </si>
  <si>
    <t>阳光150kW</t>
  </si>
  <si>
    <t>阳光250kW</t>
  </si>
  <si>
    <t>阳光320kW</t>
  </si>
  <si>
    <t>锦浪50KW</t>
  </si>
  <si>
    <t>锦浪100KW</t>
  </si>
  <si>
    <t>锦浪150KW</t>
  </si>
  <si>
    <t>锦浪320kW</t>
  </si>
  <si>
    <t>箱变</t>
  </si>
  <si>
    <t>欧式箱变</t>
  </si>
  <si>
    <t>SCB12-800/10.5/0.8kV （铜绕组，高压侧为负荷开关+熔断器）</t>
  </si>
  <si>
    <t>备注：升级为2级能耗，在此价格基础上加4万，高压侧升级为断路器方案，在此价格上加3万，高压侧升级环网柜方案，在此基础上加6万。</t>
  </si>
  <si>
    <t>新增箱变对端侧改造</t>
  </si>
  <si>
    <t>SCB12-1000/10.5/0.9kV（铜绕组，高压侧为负荷开关+熔断器）</t>
  </si>
  <si>
    <t>SCB12-1250/10.5/0.10kV（铜绕组，高压侧为负荷开关+熔断器）</t>
  </si>
  <si>
    <t>SCB12-1600/10.5/0.11kV（铜绕组，高压侧为负荷开关+熔断器）</t>
  </si>
  <si>
    <t>SCB12-2000/10.5/0.12kV（铜绕组，高压侧为负荷开关+熔断器）</t>
  </si>
  <si>
    <t>SCB12-2500/10.5/0.13kV（铜绕组，高压侧为负荷开关+熔断器）</t>
  </si>
  <si>
    <t>SCB12-3150/10.5/0.14kV（铜绕组，高压侧为负荷开关+熔断器）</t>
  </si>
  <si>
    <t>开关柜</t>
  </si>
  <si>
    <t>10kV 并网柜（KYN28A-12，Ir=630A,Ib=25kA)</t>
  </si>
  <si>
    <t>面</t>
  </si>
  <si>
    <t>10kV 出线柜（KYN28A-12，Ir=630A,Ib=25kA）</t>
  </si>
  <si>
    <t>10KV PT柜（KYN28A-12，Ib=25kA）</t>
  </si>
  <si>
    <t>10KV 计量柜（KYN28A-12，Ir=630A,Ib=25kA）</t>
  </si>
  <si>
    <t>10KV SVG柜（KYN28A-12，Ir=630A,Ib=25kA）</t>
  </si>
  <si>
    <t>10KV 光伏集电线柜（KYN28A-12，Ir=630A,Ib=25kA）</t>
  </si>
  <si>
    <t>10kv 站用变柜（KYN28A-12，Ir=630A,Ib=25kA）</t>
  </si>
  <si>
    <t>400V 并网柜（GGD柜，国内一线框架断路器630A）</t>
  </si>
  <si>
    <t>400V 并网柜（GGD柜，国内一线框架断路器1250A）</t>
  </si>
  <si>
    <t>400V 并网柜（GGD柜，ABB框架断路器1250A）</t>
  </si>
  <si>
    <t>SVG设备</t>
  </si>
  <si>
    <t>10kV 直挂SVG</t>
  </si>
  <si>
    <t xml:space="preserve">±0.5Mvar </t>
  </si>
  <si>
    <t xml:space="preserve">±1Mvar </t>
  </si>
  <si>
    <t xml:space="preserve">±1.5Mvar </t>
  </si>
  <si>
    <t>±2Mvar</t>
  </si>
  <si>
    <t>400V 电容柜</t>
  </si>
  <si>
    <t>GGD柜 ,600kvar</t>
  </si>
  <si>
    <t>四象限无功补偿控制器</t>
  </si>
  <si>
    <t>400V</t>
  </si>
  <si>
    <t>点</t>
  </si>
  <si>
    <t>站用电</t>
  </si>
  <si>
    <t>10kv站用变</t>
  </si>
  <si>
    <t>50KVA</t>
  </si>
  <si>
    <t>低压站用柜</t>
  </si>
  <si>
    <t>GGD柜 ,双电源供电</t>
  </si>
  <si>
    <t>预制舱</t>
  </si>
  <si>
    <t>一次预制舱</t>
  </si>
  <si>
    <t>6.5*3.5*3</t>
  </si>
  <si>
    <t>二次预制舱</t>
  </si>
  <si>
    <t>6*3.5*3</t>
  </si>
  <si>
    <t>一二次预制舱</t>
  </si>
  <si>
    <t>9.5*3.5*3</t>
  </si>
  <si>
    <t>电气二次</t>
  </si>
  <si>
    <t>10kV并网</t>
  </si>
  <si>
    <t>计算机监控系统</t>
  </si>
  <si>
    <t>远动通讯屏</t>
  </si>
  <si>
    <t>包括远动通信装置、对时装置</t>
  </si>
  <si>
    <t>综合解列装置柜</t>
  </si>
  <si>
    <t>包括防孤岛保护装置，公用测控装置，电能质量在线监测装置</t>
  </si>
  <si>
    <t>交直流一体化电源系统</t>
  </si>
  <si>
    <t>环境检测仪</t>
  </si>
  <si>
    <t>有功无功控制系统</t>
  </si>
  <si>
    <t>调度通信系统</t>
  </si>
  <si>
    <t>无线传输终端（带4G卡）</t>
  </si>
  <si>
    <t>有线</t>
  </si>
  <si>
    <t>保护测控装置</t>
  </si>
  <si>
    <t>安装在开关柜上</t>
  </si>
  <si>
    <t>光纤差动保护测控装置</t>
  </si>
  <si>
    <t>负荷控制装置</t>
  </si>
  <si>
    <t>电能量采集终端</t>
  </si>
  <si>
    <t>关口计量表</t>
  </si>
  <si>
    <t>0.2S级计量表（就地安装在开关柜上）</t>
  </si>
  <si>
    <t xml:space="preserve">电度表 </t>
  </si>
  <si>
    <t>0.5S级考核表（进线柜、出线柜）</t>
  </si>
  <si>
    <t>视频监控系统</t>
  </si>
  <si>
    <t>项</t>
  </si>
  <si>
    <t>视频摄像头</t>
  </si>
  <si>
    <t>含立杆，电源箱,4G卡等</t>
  </si>
  <si>
    <t>RS485通讯线</t>
  </si>
  <si>
    <t>m</t>
  </si>
  <si>
    <t>超五类网络线</t>
  </si>
  <si>
    <t>单模光纤</t>
  </si>
  <si>
    <t>24芯</t>
  </si>
  <si>
    <t>控制电缆</t>
  </si>
  <si>
    <t>ZC-KVVP22-0.45/0.75kV-4×2.5</t>
  </si>
  <si>
    <t>400V并网</t>
  </si>
  <si>
    <t>防过载防逆流电表</t>
  </si>
  <si>
    <t>防逆流装置</t>
  </si>
  <si>
    <t>防孤岛模块</t>
  </si>
  <si>
    <t>电能质量在线监测装置</t>
  </si>
  <si>
    <t>0.2S级计量表</t>
  </si>
  <si>
    <t>平台数据接入系统</t>
  </si>
  <si>
    <t>ENOS平台数据接入系统</t>
  </si>
  <si>
    <t>远景智能</t>
  </si>
  <si>
    <t>长园深瑞（含接入人工费）</t>
  </si>
  <si>
    <t>集电线路</t>
  </si>
  <si>
    <t>直流电缆</t>
  </si>
  <si>
    <t>H1Z2Z2-K-1*4mm²</t>
  </si>
  <si>
    <t>km</t>
  </si>
  <si>
    <t>H1Z2Z2-K-1*6mm²</t>
  </si>
  <si>
    <t>低压交流电力电缆</t>
  </si>
  <si>
    <t>ZC-YJLHV22-0.6/1kV-3×70mm²+1×50mm²</t>
  </si>
  <si>
    <t>ZC-YJLHV22-0.6/1kV-3×120mm²+1×70mm²</t>
  </si>
  <si>
    <t>ZC-YJLHV22-0.6/1kV-3×150mm²+1×70mm²</t>
  </si>
  <si>
    <t>ZC-YJLHV22-0.6/1kV-3×185mm²+1×95mm²</t>
  </si>
  <si>
    <t>ZC-YJLHV22-0.6/1kV-3×240mm²+1×120mm²</t>
  </si>
  <si>
    <t>ZC-YJV22-0.6/1kV-3×95mm²+1×50mm²</t>
  </si>
  <si>
    <t>ZC-YJV22-0.6/1kV-3×120mm²+1×70mm²</t>
  </si>
  <si>
    <t>ZC-YJV22-0.6/1kV-3×150mm²+1×70mm²</t>
  </si>
  <si>
    <t>ZC-YJV22-0.6/1kV-3×185mm²+1×95mm²</t>
  </si>
  <si>
    <t>ZC-YJV22-0.6/1kV-3×240mm²+1×120mm²</t>
  </si>
  <si>
    <t>ZC-YJLHV22-1.8/3kV-3×95mm²</t>
  </si>
  <si>
    <t>ZC-YJLHV22-1.8/3kV-3×120mm²</t>
  </si>
  <si>
    <t>ZC-YJLHV22-1.8/3kV-3×150mm²</t>
  </si>
  <si>
    <t>ZC-YJLHV22-1.8/3kV-3×185mm²</t>
  </si>
  <si>
    <t>ZC-YJLHV22-1.8/3kV-3×240mm²</t>
  </si>
  <si>
    <t>ZC-YJLHV22-1.8/3kV-3×300mm²</t>
  </si>
  <si>
    <t>ZC-YJV22-1.8/3kV-3×95mm²</t>
  </si>
  <si>
    <t>ZC-YJV22-1.8/3kV-3×120mm²</t>
  </si>
  <si>
    <t>ZC-YJV22-1.8/3kV-3×150mm²</t>
  </si>
  <si>
    <t>ZC-YJV22-1.8/3kV-3×185mm²</t>
  </si>
  <si>
    <t>ZC-YJV22-1.8/3kV-3×240mm²</t>
  </si>
  <si>
    <t>ZC-YJV22-1.8/3kV-3×300mm²</t>
  </si>
  <si>
    <t>高压电力电缆</t>
  </si>
  <si>
    <t>ZC-YJV22-8.7/15kV-3×70mm²</t>
  </si>
  <si>
    <t>ZC-YJV22-8.7/15kV-3×95mm²</t>
  </si>
  <si>
    <t>ZC-YJV22-8.7/15kV-3×120mm²</t>
  </si>
  <si>
    <t>ZC-YJV22-8.7/15kV-3×150mm²</t>
  </si>
  <si>
    <t>ZC-YJV22-8.7/15kV-3×185mm²</t>
  </si>
  <si>
    <t>ZC-YJV22-8.7/15kV-3×240mm²</t>
  </si>
  <si>
    <t>ZC-YJV22-8.7/15kV-3×300mm²</t>
  </si>
  <si>
    <t>ZC-YJV22-26/35kV-3×120mm²</t>
  </si>
  <si>
    <t>ZC-YJV22-26/35kV-3×150mm²</t>
  </si>
  <si>
    <t>ZC-YJV22-26/35kV-3×185mm²</t>
  </si>
  <si>
    <t>电缆终端</t>
  </si>
  <si>
    <t>中压电缆头</t>
  </si>
  <si>
    <t>10kV，户内冷缩</t>
  </si>
  <si>
    <t>低压电缆头</t>
  </si>
  <si>
    <t>电缆保护管</t>
  </si>
  <si>
    <t>软管</t>
  </si>
  <si>
    <t>Φ50*3.7  PE材质</t>
  </si>
  <si>
    <t>不锈钢管</t>
  </si>
  <si>
    <t>SC100，4.5mm厚</t>
  </si>
  <si>
    <t>SC150，4.5mm厚</t>
  </si>
  <si>
    <t>热镀锌钢管</t>
  </si>
  <si>
    <t>φ50</t>
  </si>
  <si>
    <t>φ100</t>
  </si>
  <si>
    <t>φ125</t>
  </si>
  <si>
    <t>φ150</t>
  </si>
  <si>
    <t>电缆桥架</t>
  </si>
  <si>
    <t>镀锌钢槽盒</t>
  </si>
  <si>
    <t>规格：100*50*1.0</t>
  </si>
  <si>
    <t>镀铝锌镁槽式电缆桥架</t>
  </si>
  <si>
    <t>规格：150*75*1.2</t>
  </si>
  <si>
    <t>规格：200*100*1.2</t>
  </si>
  <si>
    <t>规格：300*100*1.2</t>
  </si>
  <si>
    <t>规格：300*100*1.5</t>
  </si>
  <si>
    <t>规格：400*200*1.5</t>
  </si>
  <si>
    <t>规格：500*100*1.5</t>
  </si>
  <si>
    <t>规格：600*100*2</t>
  </si>
  <si>
    <t>热镀锌钢梯式电缆桥架</t>
  </si>
  <si>
    <t>规格：400*100*1.2</t>
  </si>
  <si>
    <t>规格：400*150*1.5</t>
  </si>
  <si>
    <t>规格：500*100*1.2</t>
  </si>
  <si>
    <t>异径接头</t>
  </si>
  <si>
    <t>接地及辅材</t>
  </si>
  <si>
    <t>接地</t>
  </si>
  <si>
    <t>接地扁铁</t>
  </si>
  <si>
    <t>40X4</t>
  </si>
  <si>
    <t>50X5</t>
  </si>
  <si>
    <t>黄绿接地线</t>
  </si>
  <si>
    <t xml:space="preserve">BVR 1×4mm2 </t>
  </si>
  <si>
    <t xml:space="preserve">BVR 1×16mm2 </t>
  </si>
  <si>
    <t>接地极</t>
  </si>
  <si>
    <t>热镀锌角钢，镀锌层≥65μm 50×5 L=2500mm</t>
  </si>
  <si>
    <t>根</t>
  </si>
  <si>
    <t>防火封堵</t>
  </si>
  <si>
    <t>t</t>
  </si>
  <si>
    <t>灭火器箱</t>
  </si>
  <si>
    <t>手提式灭火器，含不锈钢防护罩</t>
  </si>
  <si>
    <t>水清洗系统</t>
  </si>
  <si>
    <t>支架</t>
  </si>
  <si>
    <t>逆变器支架</t>
  </si>
  <si>
    <t>Q235B</t>
  </si>
  <si>
    <t>组件支架</t>
  </si>
  <si>
    <t>铝合金</t>
  </si>
  <si>
    <t>Wp</t>
  </si>
  <si>
    <t>光伏车棚</t>
  </si>
  <si>
    <t>双立柱，Q235B/355B,风压0.5</t>
  </si>
  <si>
    <t>双悬挑，Q235B/355B,风压0.5</t>
  </si>
  <si>
    <t>单悬挑，Q235B/355B,风压0.5</t>
  </si>
  <si>
    <t>双立柱，Q235B/355B,风压0.75</t>
  </si>
  <si>
    <t>双悬挑，Q235B/355B,风压0.75</t>
  </si>
  <si>
    <t>单悬挑，Q235B/355B,风压0.75</t>
  </si>
  <si>
    <t>EHS</t>
  </si>
  <si>
    <t>屋顶护栏</t>
  </si>
  <si>
    <t>角铝L50*50*5</t>
  </si>
  <si>
    <t>爬梯</t>
  </si>
  <si>
    <t>镀锌钢爬梯(不超过10米，带护笼和休息平台)</t>
  </si>
  <si>
    <t>永久生命线</t>
  </si>
  <si>
    <t>316不锈钢</t>
  </si>
  <si>
    <t>运维走道板</t>
  </si>
  <si>
    <t>0.5m宽格栅板</t>
  </si>
  <si>
    <t>采光带防护</t>
  </si>
  <si>
    <t>钢丝网</t>
  </si>
  <si>
    <t>㎡</t>
  </si>
  <si>
    <t>设备基础</t>
  </si>
  <si>
    <t>电缆井</t>
  </si>
  <si>
    <t>内径尺寸：1200*1200*1400mm</t>
  </si>
  <si>
    <t>并网柜基础</t>
  </si>
  <si>
    <t>箱变基础</t>
  </si>
  <si>
    <t>SVG基础</t>
  </si>
  <si>
    <t>预制舱基础</t>
  </si>
  <si>
    <t>6*3.5m</t>
  </si>
  <si>
    <t>一二次仓合并数量按2</t>
  </si>
  <si>
    <t>支架基础</t>
  </si>
  <si>
    <t>预制,风压在0.6以下</t>
  </si>
  <si>
    <t>预制,风压在0.6-0.75</t>
  </si>
  <si>
    <t>电缆敷设</t>
  </si>
  <si>
    <t>破路</t>
  </si>
  <si>
    <t>电缆沟</t>
  </si>
  <si>
    <t>不含管材，砖砌800*800，带盖板</t>
  </si>
  <si>
    <t>不含管材，混凝土1200*1000，带盖板</t>
  </si>
  <si>
    <t>直埋</t>
  </si>
  <si>
    <t>铺砂盖砖</t>
  </si>
  <si>
    <t>加固换瓦</t>
  </si>
  <si>
    <t>加固</t>
  </si>
  <si>
    <t>换瓦</t>
  </si>
  <si>
    <t>0.6mm厚,含拆旧</t>
  </si>
  <si>
    <t>防水</t>
  </si>
  <si>
    <t>4mm厚卷材防水</t>
  </si>
  <si>
    <t>除锈喷漆</t>
  </si>
  <si>
    <t>15年质保，优质油漆</t>
  </si>
  <si>
    <t>不含质保，普通油漆</t>
  </si>
  <si>
    <t>光伏系统及电气调试</t>
  </si>
  <si>
    <t>整系统调试</t>
  </si>
  <si>
    <t>400V调试</t>
  </si>
  <si>
    <t>10KV调试</t>
  </si>
  <si>
    <t>汇总</t>
  </si>
  <si>
    <t>设计费用</t>
  </si>
  <si>
    <t>设计费</t>
  </si>
  <si>
    <t>项目工程设计</t>
  </si>
  <si>
    <t>荷载报告</t>
  </si>
  <si>
    <t>加固设计+荷载报告</t>
  </si>
  <si>
    <t>手续办理</t>
  </si>
  <si>
    <t>并网验收</t>
  </si>
  <si>
    <t>施工图专家评审</t>
  </si>
  <si>
    <t>对侧改造</t>
  </si>
  <si>
    <t>电站整体检测</t>
  </si>
  <si>
    <t>资方指定监测（TUV）含组件到货检测</t>
  </si>
  <si>
    <t>储能工程</t>
  </si>
  <si>
    <t>储能设备及建安成本</t>
  </si>
  <si>
    <t>储能柜</t>
  </si>
  <si>
    <t>储能柜及安装</t>
  </si>
  <si>
    <t>125KW/262kWh</t>
  </si>
  <si>
    <t>远景智能品牌（甲指乙采）</t>
  </si>
  <si>
    <t>ZC-YJV22-0.6/1kV-3×70mm²+1×35mm²</t>
  </si>
  <si>
    <t>ZC-YJHLV22-0.6/1kV-3×95mm²+1×50mm²</t>
  </si>
  <si>
    <t>ZC-YJLHV22-0.6/1kV 3×185mm²+1×95mm²</t>
  </si>
  <si>
    <t>1.材质:热镀锌角钢，镀锌层≥65μm
2.规格/型号:50×5 L=2500mm</t>
  </si>
  <si>
    <t>围栏</t>
  </si>
  <si>
    <t>碳钢栅栏1.5米高，Q235B材质，厚度2.0mm，立柱预埋混凝土安装·</t>
  </si>
  <si>
    <t>防火墙</t>
  </si>
  <si>
    <t>可移动式钢制台阶</t>
  </si>
  <si>
    <t>长90*宽60*高100+50cm,3个踏板+1个平台</t>
  </si>
  <si>
    <t>0.4m宽格栅板（38*38*38）</t>
  </si>
  <si>
    <t>储能柜基础</t>
  </si>
  <si>
    <t>262KWh /314KWh</t>
  </si>
  <si>
    <t xml:space="preserve">419KWh </t>
  </si>
  <si>
    <t>铺砂盖转</t>
  </si>
  <si>
    <t>绿化修复</t>
  </si>
  <si>
    <t>草皮</t>
  </si>
  <si>
    <t>地面硬化</t>
  </si>
  <si>
    <t>10公分碎石+20公分的C25混凝土</t>
  </si>
  <si>
    <t>储能系统及电气调试</t>
  </si>
  <si>
    <t>Wh</t>
  </si>
  <si>
    <t>充电桩工程</t>
  </si>
  <si>
    <t>充电桩设备及建安成本</t>
  </si>
  <si>
    <t>充电桩</t>
  </si>
  <si>
    <t>充电桩安装</t>
  </si>
  <si>
    <t>7kW交流充电桩</t>
  </si>
  <si>
    <t>60kW直流充电桩</t>
  </si>
  <si>
    <t>132kW直流充电桩 V2G</t>
  </si>
  <si>
    <t>240kW直流充电桩</t>
  </si>
  <si>
    <t>480kW直流充电桩（含终端1拖4）</t>
  </si>
  <si>
    <t>租用平台管理系统</t>
  </si>
  <si>
    <t>充电云平台</t>
  </si>
  <si>
    <t>对接服务</t>
  </si>
  <si>
    <t>电缆</t>
  </si>
  <si>
    <t>通信线缆</t>
  </si>
  <si>
    <t>ZRC-kvvp2-22-0.45/0.75kV-2×4mm²</t>
  </si>
  <si>
    <t>RS485屏蔽双绞线</t>
  </si>
  <si>
    <t>RVVP2*1.5mm²</t>
  </si>
  <si>
    <t>ZC-YJLHV22-0.6/1kV-3×300mm²+1×150mm²</t>
  </si>
  <si>
    <t>ZC-YJLHV22-0.6/1kV-3×240mm²+2×120mm²</t>
  </si>
  <si>
    <t>ZC-YJV22-0.6/1kV-4×240mm²</t>
  </si>
  <si>
    <t>ZC-YJV22-0.6/1kV-1×70mm²</t>
  </si>
  <si>
    <t>ZC-YJV22-0.6/1kV-3×185mm²+2×95mm²</t>
  </si>
  <si>
    <t>有机防火堵料</t>
  </si>
  <si>
    <t>地锁</t>
  </si>
  <si>
    <t>防撞款</t>
  </si>
  <si>
    <t>车位划线</t>
  </si>
  <si>
    <t>车档</t>
  </si>
  <si>
    <t>蜂窝状</t>
  </si>
  <si>
    <t>对</t>
  </si>
  <si>
    <t>碳钢栅栏1.5米高，Q235B材质，厚度2.0mm，立柱预埋混凝土安装</t>
  </si>
  <si>
    <t>并网配电柜基础</t>
  </si>
  <si>
    <t>充电桩基础</t>
  </si>
  <si>
    <t>直流充电桩基础</t>
  </si>
  <si>
    <t>60KW</t>
  </si>
  <si>
    <t>240KW</t>
  </si>
  <si>
    <t>充电主机+冷源基础</t>
  </si>
  <si>
    <t>480KW</t>
  </si>
  <si>
    <t>不含管材，砖砌800*800</t>
  </si>
  <si>
    <t>地面重做</t>
  </si>
  <si>
    <t>充电桩调试</t>
  </si>
  <si>
    <t>超充调试</t>
  </si>
  <si>
    <t>直流桩调试</t>
  </si>
  <si>
    <t>交流桩调试</t>
  </si>
  <si>
    <t>建安费（含主材）调整系数</t>
  </si>
  <si>
    <t>光伏项目容量</t>
  </si>
  <si>
    <t>≤1MW</t>
  </si>
  <si>
    <t>1MW＜x≤3MW</t>
  </si>
  <si>
    <t>3MW＜x≤6MW</t>
  </si>
  <si>
    <t>＞6MW</t>
  </si>
  <si>
    <t>调整系数</t>
  </si>
  <si>
    <t>储能项目容量</t>
  </si>
  <si>
    <t>≤2MWh</t>
  </si>
  <si>
    <t>2MWh＜x≤6MWh</t>
  </si>
  <si>
    <t>6MWh＜x≤12MWh</t>
  </si>
  <si>
    <t>＞12MWh</t>
  </si>
  <si>
    <t>充电桩项目容量</t>
  </si>
  <si>
    <t>≤0.5MW</t>
  </si>
  <si>
    <t>0.5MW＜x≤2.5MW</t>
  </si>
  <si>
    <t>2.5MW＜x≤5MWh</t>
  </si>
  <si>
    <t>＞5MWh</t>
  </si>
  <si>
    <t>地区</t>
  </si>
  <si>
    <t>一类地区</t>
  </si>
  <si>
    <t>二类地区</t>
  </si>
  <si>
    <t>三类地区</t>
  </si>
  <si>
    <t>四类地区</t>
  </si>
  <si>
    <t>北京，天津，上海，浙江，江苏，广东，深圳</t>
  </si>
  <si>
    <t>河北，山西，陕西，山东，辽宁，安徽，四川，重庆，湖南，湖北，福建，江西，河南，广西</t>
  </si>
  <si>
    <t>甘肃，宁夏，青海，黑龙江，吉林，贵州，海南，云南</t>
  </si>
  <si>
    <t>内蒙古，新疆，西藏</t>
  </si>
  <si>
    <t>考虑冬季施工，建安费用上调10%</t>
    <phoneticPr fontId="23" type="noConversion"/>
  </si>
  <si>
    <t>200mm沥青（含原场地拆除）</t>
    <phoneticPr fontId="23" type="noConversion"/>
  </si>
  <si>
    <t>阳光30kW</t>
    <phoneticPr fontId="23" type="noConversion"/>
  </si>
  <si>
    <t>SCB12-800/10.5/0.5kV （铜绕组，高压侧为负荷开关+熔断器）</t>
    <phoneticPr fontId="23" type="noConversion"/>
  </si>
  <si>
    <t>400V 并网柜（GGD柜，250A*2塑断+500A塑断*2+50A塑断+25A*3塑断）</t>
    <phoneticPr fontId="23" type="noConversion"/>
  </si>
  <si>
    <t>沈阳某项目微网控制器策略方案</t>
  </si>
  <si>
    <t>版本：V2.0</t>
  </si>
  <si>
    <t>适用范围：仅可控制储能PCS与光伏逆变器，充电桩及V2G桩均视为不可控负载</t>
  </si>
  <si>
    <t>一、系统参数与安全红线（硬约束）</t>
  </si>
  <si>
    <t>1.1 设备配置</t>
  </si>
  <si>
    <t>设备</t>
  </si>
  <si>
    <t>关键参数</t>
  </si>
  <si>
    <t>可控性</t>
  </si>
  <si>
    <t>变压器</t>
  </si>
  <si>
    <t>——</t>
  </si>
  <si>
    <t>储能系统</t>
  </si>
  <si>
    <t>完全可控</t>
  </si>
  <si>
    <t>光伏</t>
  </si>
  <si>
    <t>分体式充电桩</t>
  </si>
  <si>
    <t>总功率480kW，4终端动态分配</t>
  </si>
  <si>
    <t>不可控</t>
  </si>
  <si>
    <t>V2G充电桩</t>
  </si>
  <si>
    <t>500kVA</t>
    <phoneticPr fontId="23" type="noConversion"/>
  </si>
  <si>
    <t>额定120kW（一般车端最大放电功率 40kW，充电120KW）充放均不可控</t>
    <phoneticPr fontId="23" type="noConversion"/>
  </si>
  <si>
    <t>1.2 核心安全红线（优先级最高，任何时刻必须满足）</t>
  </si>
  <si>
    <t>安全指标</t>
  </si>
  <si>
    <t>设定值</t>
  </si>
  <si>
    <t>说明</t>
  </si>
  <si>
    <t>防逆流硬底线</t>
  </si>
  <si>
    <t>控制响应时间</t>
  </si>
  <si>
    <t>本地高速采样与直连通讯</t>
  </si>
  <si>
    <r>
      <t>电网关口功率 </t>
    </r>
    <r>
      <rPr>
        <sz val="13.3"/>
        <color theme="1"/>
        <rFont val="Microsoft YaHei Light"/>
        <family val="2"/>
        <charset val="134"/>
      </rPr>
      <t>Pgrid≥0</t>
    </r>
    <r>
      <rPr>
        <i/>
        <sz val="13.3"/>
        <color theme="1"/>
        <rFont val="Microsoft YaHei Light"/>
        <family val="2"/>
        <charset val="134"/>
      </rPr>
      <t>P</t>
    </r>
    <r>
      <rPr>
        <i/>
        <sz val="7.7"/>
        <color theme="1"/>
        <rFont val="Microsoft YaHei Light"/>
        <family val="2"/>
        <charset val="134"/>
      </rPr>
      <t>grid</t>
    </r>
    <r>
      <rPr>
        <sz val="1"/>
        <color theme="1"/>
        <rFont val="Microsoft YaHei Light"/>
        <family val="2"/>
        <charset val="134"/>
      </rPr>
      <t>​</t>
    </r>
    <r>
      <rPr>
        <sz val="13.3"/>
        <color theme="1"/>
        <rFont val="Microsoft YaHei Light"/>
        <family val="2"/>
        <charset val="134"/>
      </rPr>
      <t>≥0</t>
    </r>
    <r>
      <rPr>
        <sz val="9"/>
        <color theme="1"/>
        <rFont val="Microsoft YaHei Light"/>
        <family val="2"/>
        <charset val="134"/>
      </rPr>
      <t> kW，绝对不允许反向电流</t>
    </r>
    <phoneticPr fontId="23" type="noConversion"/>
  </si>
  <si>
    <r>
      <t>从异常检测到功率指令下发 ≤100ms，</t>
    </r>
    <r>
      <rPr>
        <sz val="9"/>
        <color theme="1"/>
        <rFont val="Microsoft YaHei Light"/>
        <family val="2"/>
        <charset val="134"/>
      </rPr>
      <t>3秒内完成闭环</t>
    </r>
    <phoneticPr fontId="23" type="noConversion"/>
  </si>
  <si>
    <t>二、控制架构与优先级</t>
  </si>
  <si>
    <t>防逆流安全链 → 防超需安全链 → 分时经济调度</t>
  </si>
  <si>
    <t>安全链一旦触发，直接越过经济调度，向储能和光伏下发强制指令。当电网功率恢复到安全区间后，无故障保持5秒，安全链退出，交回经济调度。</t>
  </si>
  <si>
    <t>控制器实时采集 Ppv,Pload,SOC,PgridPpv​,Pload​,SOC,Pgrid​，每 100ms 执行一次策略循环。所有模式遵循以下优先级：</t>
  </si>
  <si>
    <t>（光伏功率组件：42块620wp）26kW，逆变器：30KW，支持功率限发/关断指令</t>
    <phoneticPr fontId="23" type="noConversion"/>
  </si>
  <si>
    <t>四、沈阳分时电价导入</t>
  </si>
  <si>
    <t>根据辽宁省分时电价政策，配置如下时段表（示例价格，可通过参数更新）：</t>
  </si>
  <si>
    <t>时段类型</t>
  </si>
  <si>
    <t>时间段</t>
  </si>
  <si>
    <t>执行月份</t>
  </si>
  <si>
    <t>谷段</t>
  </si>
  <si>
    <t>22:00-次日5:00</t>
  </si>
  <si>
    <t>全年</t>
  </si>
  <si>
    <t>平段</t>
  </si>
  <si>
    <t>5:00-7:30, 10:30-16:00, 21:00-22:00</t>
  </si>
  <si>
    <t>高峰</t>
  </si>
  <si>
    <t>7:30-10:30, 16:00-18:00, 20:00-21:00</t>
  </si>
  <si>
    <t>尖峰</t>
  </si>
  <si>
    <t>18:00-20:00</t>
  </si>
  <si>
    <t>7,8,12,1月执行，其余月份按高峰计价</t>
  </si>
  <si>
    <t>控制器需支持远程更新电价、时段及尖峰执行日期。</t>
  </si>
  <si>
    <t>六、储能全周期管理及约束</t>
  </si>
  <si>
    <r>
      <rPr>
        <sz val="10"/>
        <color rgb="FF0F1115"/>
        <rFont val="微软雅黑"/>
        <family val="2"/>
        <charset val="134"/>
      </rPr>
      <t>充电窗口：</t>
    </r>
    <r>
      <rPr>
        <sz val="10"/>
        <color rgb="FF0F1115"/>
        <rFont val="Segoe UI"/>
        <family val="2"/>
      </rPr>
      <t> </t>
    </r>
    <phoneticPr fontId="23" type="noConversion"/>
  </si>
  <si>
    <t>仅谷电时段及平电时段光伏有余时。</t>
    <phoneticPr fontId="23" type="noConversion"/>
  </si>
  <si>
    <t>放电窗口：</t>
    <phoneticPr fontId="23" type="noConversion"/>
  </si>
  <si>
    <t>仅峰电、尖峰时段，以及安全链触发时。</t>
    <phoneticPr fontId="23" type="noConversion"/>
  </si>
  <si>
    <r>
      <t>SOC</t>
    </r>
    <r>
      <rPr>
        <sz val="10"/>
        <color rgb="FF0F1115"/>
        <rFont val="微软雅黑"/>
        <family val="2"/>
        <charset val="134"/>
      </rPr>
      <t>保持：</t>
    </r>
    <r>
      <rPr>
        <sz val="10"/>
        <color rgb="FF0F1115"/>
        <rFont val="Segoe UI"/>
        <family val="2"/>
      </rPr>
      <t> </t>
    </r>
    <phoneticPr fontId="23" type="noConversion"/>
  </si>
  <si>
    <r>
      <rPr>
        <sz val="10"/>
        <color rgb="FF0F1115"/>
        <rFont val="微软雅黑"/>
        <family val="2"/>
        <charset val="134"/>
      </rPr>
      <t>禁用场景：</t>
    </r>
    <r>
      <rPr>
        <sz val="10"/>
        <color rgb="FF0F1115"/>
        <rFont val="Segoe UI"/>
        <family val="2"/>
      </rPr>
      <t> </t>
    </r>
    <phoneticPr fontId="23" type="noConversion"/>
  </si>
  <si>
    <t>峰电、尖峰时段绝对禁止从电网充电；平电时段禁止用网电充电。</t>
  </si>
  <si>
    <r>
      <t>V2G</t>
    </r>
    <r>
      <rPr>
        <sz val="10"/>
        <color rgb="FF0F1115"/>
        <rFont val="微软雅黑"/>
        <family val="2"/>
        <charset val="134"/>
      </rPr>
      <t>耦合：</t>
    </r>
    <r>
      <rPr>
        <sz val="10"/>
        <color rgb="FF0F1115"/>
        <rFont val="Segoe UI"/>
        <family val="2"/>
      </rPr>
      <t> </t>
    </r>
    <phoneticPr fontId="23" type="noConversion"/>
  </si>
  <si>
    <t>V2G放电会在任何时段自动被储能吸收，不产生逆流。</t>
    <phoneticPr fontId="23" type="noConversion"/>
  </si>
  <si>
    <t>注意储能需要留有SOC余量满足光伏和V2G存在的补电可能</t>
    <phoneticPr fontId="23" type="noConversion"/>
  </si>
  <si>
    <t>容量262kWh，PCS额定功率 125kW（充放电）</t>
    <phoneticPr fontId="23" type="noConversion"/>
  </si>
  <si>
    <t>夏季/冬季尖峰（执行月份：1月、7月、8月、12月）</t>
    <phoneticPr fontId="23" type="noConversion"/>
  </si>
  <si>
    <t>执行时间：18：00 - 20：00；逻辑：在这4个月份里，原本属于“高峰”的 18：00-20：00 升级为“尖峰”。</t>
    <phoneticPr fontId="23" type="noConversion"/>
  </si>
  <si>
    <t>辽宁省为了促进光伏消纳，在光伏大发的中午时段设置了更便宜的电价（通常称为深谷或低谷延伸）。
执行月份：7月、8月
具体时段：11：30 - 13：30
逻辑：这2个月份里，原本属于“平段”的 11：30-13：30 调整为“谷段”电价（或平时段电价下浮更大比例，具体看细则）。对于您的策略：如果此时光伏大发，优先用光伏；如果光伏不足，这2小时的电价比平时便宜，储能的充放电策略需要留意。</t>
    <phoneticPr fontId="23" type="noConversion"/>
  </si>
  <si>
    <t>时间范围</t>
  </si>
  <si>
    <t>默认电价类型</t>
  </si>
  <si>
    <t>特殊规则触发条件</t>
  </si>
  <si>
    <t>00：00 - 05：00</t>
  </si>
  <si>
    <t>无</t>
  </si>
  <si>
    <t>05：00 - 07：30</t>
  </si>
  <si>
    <t>07：30 - 10：30</t>
  </si>
  <si>
    <t>10：30 - 11：30</t>
  </si>
  <si>
    <t>11：30 - 13：30</t>
  </si>
  <si>
    <t>若月份=7或8，调整为谷段电价</t>
  </si>
  <si>
    <t>13：30 - 16：00</t>
  </si>
  <si>
    <t>16：00 - 18：00</t>
  </si>
  <si>
    <t>18：00 - 20：00</t>
  </si>
  <si>
    <t>若月份=1、7、8、12，调整为尖峰电价</t>
  </si>
  <si>
    <t>20：00 - 21：00</t>
  </si>
  <si>
    <t>21：00 - 22：00</t>
  </si>
  <si>
    <t>22：00 - 24：00</t>
  </si>
  <si>
    <t>7月和8月的午间谷电（“深谷”）</t>
    <phoneticPr fontId="23" type="noConversion"/>
  </si>
  <si>
    <t>特殊情况：</t>
    <phoneticPr fontId="23" type="noConversion"/>
  </si>
  <si>
    <t>期望谷电结束时SOC达到70%（假设值）以上；白天由光伏补电</t>
    <phoneticPr fontId="23" type="noConversion"/>
  </si>
  <si>
    <t>安科瑞DTSD1352电表(CT160)     地址是204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</si>
</sst>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43" formatCode="_ * #,##0.00_ ;_ * \-#,##0.00_ ;_ * &quot;-&quot;??_ ;_ @_ "/>
    <numFmt numFmtId="176" formatCode="0.0_ "/>
    <numFmt numFmtId="177" formatCode="0.00_);[Red]\(0.00\)"/>
    <numFmt numFmtId="178" formatCode="0_ "/>
    <numFmt numFmtId="179" formatCode="0_);[Red]\(0\)"/>
    <numFmt numFmtId="180" formatCode="0.000_);[Red]\(0.000\)"/>
    <numFmt numFmtId="181" formatCode="0.00_ "/>
    <numFmt numFmtId="182" formatCode="0.0000_ "/>
    <numFmt numFmtId="183" formatCode="#,##0_);[Red]\(#,##0\)"/>
    <numFmt numFmtId="184" formatCode="#,##0.00_);[Red]\(#,##0.00\)"/>
    <numFmt numFmtId="185" formatCode="_ * #,##0.00_ ;_ * \-#,##0.00_ ;_ * &quot;-&quot;??.00_ ;_ @_ "/>
    <numFmt numFmtId="186" formatCode="_ * #,##0.0000_ ;_ * \-#,##0.0000_ ;_ * &quot;-&quot;????_ ;_ @_ "/>
    <numFmt numFmtId="187" formatCode="_ * #,##0.000_ ;_ * \-#,##0.000_ ;_ * &quot;-&quot;???_ ;_ @_ "/>
  </numFmts>
  <fonts count="43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9"/>
      <name val="等线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9"/>
      <name val="等线"/>
      <charset val="134"/>
      <scheme val="minor"/>
    </font>
    <font>
      <sz val="10"/>
      <color theme="1"/>
      <name val="宋体"/>
      <charset val="134"/>
    </font>
    <font>
      <sz val="9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1"/>
      <color indexed="8"/>
      <name val="宋体"/>
      <charset val="134"/>
    </font>
    <font>
      <sz val="10"/>
      <color indexed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indexed="8"/>
      <name val="等线"/>
      <charset val="134"/>
      <scheme val="minor"/>
    </font>
    <font>
      <sz val="11"/>
      <color indexed="8"/>
      <name val="宋体"/>
      <charset val="134"/>
    </font>
    <font>
      <b/>
      <sz val="10"/>
      <color indexed="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FF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2"/>
      <name val="宋体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sz val="11"/>
      <color theme="1"/>
      <name val="等线"/>
      <family val="3"/>
      <charset val="134"/>
      <scheme val="minor"/>
    </font>
    <font>
      <sz val="11"/>
      <color theme="1"/>
      <name val="Microsoft YaHei Light"/>
      <family val="2"/>
      <charset val="134"/>
    </font>
    <font>
      <b/>
      <sz val="12"/>
      <color rgb="FF0F1115"/>
      <name val="Microsoft YaHei Light"/>
      <family val="2"/>
      <charset val="134"/>
    </font>
    <font>
      <sz val="9"/>
      <color theme="1"/>
      <name val="Microsoft YaHei Light"/>
      <family val="2"/>
      <charset val="134"/>
    </font>
    <font>
      <sz val="13.3"/>
      <color theme="1"/>
      <name val="Microsoft YaHei Light"/>
      <family val="2"/>
      <charset val="134"/>
    </font>
    <font>
      <i/>
      <sz val="13.3"/>
      <color theme="1"/>
      <name val="Microsoft YaHei Light"/>
      <family val="2"/>
      <charset val="134"/>
    </font>
    <font>
      <i/>
      <sz val="7.7"/>
      <color theme="1"/>
      <name val="Microsoft YaHei Light"/>
      <family val="2"/>
      <charset val="134"/>
    </font>
    <font>
      <sz val="1"/>
      <color theme="1"/>
      <name val="Microsoft YaHei Light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Microsoft YaHei Light"/>
      <family val="2"/>
      <charset val="134"/>
    </font>
    <font>
      <sz val="10"/>
      <color rgb="FF0F1115"/>
      <name val="微软雅黑"/>
      <family val="2"/>
      <charset val="134"/>
    </font>
    <font>
      <sz val="10"/>
      <color rgb="FF0F1115"/>
      <name val="Segoe UI"/>
      <family val="2"/>
      <charset val="134"/>
    </font>
    <font>
      <b/>
      <sz val="16"/>
      <color theme="1"/>
      <name val="Microsoft YaHei Light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0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</cellStyleXfs>
  <cellXfs count="154">
    <xf numFmtId="0" fontId="0" fillId="0" borderId="0" xfId="0"/>
    <xf numFmtId="0" fontId="20" fillId="0" borderId="0" xfId="2">
      <alignment vertical="center"/>
    </xf>
    <xf numFmtId="0" fontId="1" fillId="0" borderId="2" xfId="2" applyFont="1" applyBorder="1" applyAlignment="1">
      <alignment horizontal="center" vertical="center"/>
    </xf>
    <xf numFmtId="176" fontId="1" fillId="0" borderId="2" xfId="2" applyNumberFormat="1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176" fontId="1" fillId="0" borderId="0" xfId="2" applyNumberFormat="1" applyFont="1" applyAlignment="1">
      <alignment horizontal="center" vertical="center" wrapText="1"/>
    </xf>
    <xf numFmtId="0" fontId="1" fillId="0" borderId="0" xfId="2" applyFont="1">
      <alignment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center" vertical="center"/>
    </xf>
    <xf numFmtId="177" fontId="2" fillId="0" borderId="0" xfId="2" applyNumberFormat="1" applyFont="1" applyAlignment="1">
      <alignment horizontal="center" vertical="center"/>
    </xf>
    <xf numFmtId="0" fontId="4" fillId="0" borderId="0" xfId="2" applyFont="1">
      <alignment vertical="center"/>
    </xf>
    <xf numFmtId="0" fontId="4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177" fontId="4" fillId="0" borderId="2" xfId="3" applyNumberFormat="1" applyFont="1" applyBorder="1" applyAlignment="1" applyProtection="1">
      <alignment horizontal="center" vertical="center" wrapText="1"/>
      <protection locked="0"/>
    </xf>
    <xf numFmtId="0" fontId="4" fillId="0" borderId="0" xfId="2" applyFont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177" fontId="4" fillId="0" borderId="2" xfId="2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left" vertical="center" wrapText="1"/>
    </xf>
    <xf numFmtId="0" fontId="4" fillId="0" borderId="2" xfId="2" applyFont="1" applyBorder="1" applyAlignment="1">
      <alignment vertical="center" wrapText="1"/>
    </xf>
    <xf numFmtId="0" fontId="3" fillId="0" borderId="2" xfId="2" applyFont="1" applyBorder="1" applyAlignment="1">
      <alignment horizontal="left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left" vertical="center" wrapText="1"/>
    </xf>
    <xf numFmtId="0" fontId="4" fillId="3" borderId="2" xfId="2" applyFont="1" applyFill="1" applyBorder="1" applyAlignment="1">
      <alignment horizontal="center" vertical="center"/>
    </xf>
    <xf numFmtId="177" fontId="4" fillId="0" borderId="2" xfId="2" applyNumberFormat="1" applyFont="1" applyBorder="1" applyAlignment="1">
      <alignment horizontal="right" vertical="center"/>
    </xf>
    <xf numFmtId="177" fontId="4" fillId="3" borderId="2" xfId="2" applyNumberFormat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left" vertical="center"/>
    </xf>
    <xf numFmtId="0" fontId="4" fillId="0" borderId="2" xfId="2" applyFont="1" applyBorder="1">
      <alignment vertical="center"/>
    </xf>
    <xf numFmtId="177" fontId="4" fillId="3" borderId="2" xfId="2" applyNumberFormat="1" applyFont="1" applyFill="1" applyBorder="1" applyAlignment="1">
      <alignment horizontal="center" vertical="center" wrapText="1"/>
    </xf>
    <xf numFmtId="178" fontId="4" fillId="0" borderId="2" xfId="2" applyNumberFormat="1" applyFont="1" applyBorder="1" applyAlignment="1">
      <alignment horizontal="center" vertical="center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3" fillId="3" borderId="2" xfId="2" applyFont="1" applyFill="1" applyBorder="1" applyAlignment="1">
      <alignment horizontal="center" vertical="center" wrapText="1"/>
    </xf>
    <xf numFmtId="179" fontId="4" fillId="0" borderId="2" xfId="2" applyNumberFormat="1" applyFont="1" applyBorder="1" applyAlignment="1">
      <alignment horizontal="center" vertical="center"/>
    </xf>
    <xf numFmtId="177" fontId="3" fillId="2" borderId="2" xfId="2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left" vertical="center" wrapText="1"/>
    </xf>
    <xf numFmtId="0" fontId="6" fillId="0" borderId="0" xfId="2" applyFont="1" applyAlignment="1">
      <alignment horizontal="center" vertical="center"/>
    </xf>
    <xf numFmtId="0" fontId="4" fillId="3" borderId="2" xfId="2" applyFont="1" applyFill="1" applyBorder="1" applyAlignment="1">
      <alignment vertical="center" wrapText="1"/>
    </xf>
    <xf numFmtId="0" fontId="4" fillId="3" borderId="2" xfId="2" applyFont="1" applyFill="1" applyBorder="1">
      <alignment vertical="center"/>
    </xf>
    <xf numFmtId="0" fontId="4" fillId="3" borderId="11" xfId="2" applyFont="1" applyFill="1" applyBorder="1" applyAlignment="1">
      <alignment horizontal="left" vertical="center" wrapText="1"/>
    </xf>
    <xf numFmtId="177" fontId="4" fillId="0" borderId="2" xfId="2" applyNumberFormat="1" applyFont="1" applyBorder="1" applyAlignment="1">
      <alignment horizontal="center" vertical="center" wrapText="1"/>
    </xf>
    <xf numFmtId="0" fontId="4" fillId="0" borderId="2" xfId="2" applyFont="1" applyBorder="1" applyAlignment="1" applyProtection="1">
      <alignment horizontal="center" vertical="center" wrapText="1"/>
      <protection locked="0"/>
    </xf>
    <xf numFmtId="180" fontId="4" fillId="0" borderId="2" xfId="2" applyNumberFormat="1" applyFont="1" applyBorder="1" applyAlignment="1">
      <alignment horizontal="center" vertical="center"/>
    </xf>
    <xf numFmtId="0" fontId="3" fillId="0" borderId="2" xfId="2" applyFont="1" applyBorder="1">
      <alignment vertical="center"/>
    </xf>
    <xf numFmtId="0" fontId="7" fillId="0" borderId="2" xfId="2" applyFont="1" applyBorder="1" applyAlignment="1">
      <alignment horizontal="left" vertical="center" wrapText="1"/>
    </xf>
    <xf numFmtId="0" fontId="4" fillId="4" borderId="2" xfId="2" applyFont="1" applyFill="1" applyBorder="1" applyAlignment="1">
      <alignment horizontal="center" vertical="center" wrapText="1"/>
    </xf>
    <xf numFmtId="177" fontId="4" fillId="0" borderId="2" xfId="2" applyNumberFormat="1" applyFont="1" applyBorder="1">
      <alignment vertical="center"/>
    </xf>
    <xf numFmtId="177" fontId="2" fillId="0" borderId="0" xfId="2" applyNumberFormat="1" applyFont="1">
      <alignment vertical="center"/>
    </xf>
    <xf numFmtId="0" fontId="7" fillId="3" borderId="2" xfId="2" applyFont="1" applyFill="1" applyBorder="1" applyAlignment="1">
      <alignment horizontal="left" vertical="center" wrapText="1"/>
    </xf>
    <xf numFmtId="0" fontId="7" fillId="3" borderId="0" xfId="2" applyFont="1" applyFill="1" applyAlignment="1">
      <alignment horizontal="left" vertical="center" wrapText="1"/>
    </xf>
    <xf numFmtId="0" fontId="7" fillId="3" borderId="2" xfId="2" applyFont="1" applyFill="1" applyBorder="1" applyAlignment="1">
      <alignment horizontal="center" vertical="center" wrapText="1"/>
    </xf>
    <xf numFmtId="177" fontId="7" fillId="3" borderId="2" xfId="2" applyNumberFormat="1" applyFont="1" applyFill="1" applyBorder="1" applyAlignment="1">
      <alignment horizontal="center" vertical="center"/>
    </xf>
    <xf numFmtId="181" fontId="4" fillId="0" borderId="2" xfId="2" applyNumberFormat="1" applyFont="1" applyBorder="1" applyAlignment="1">
      <alignment horizontal="center" vertical="center" wrapText="1"/>
    </xf>
    <xf numFmtId="178" fontId="4" fillId="3" borderId="2" xfId="2" applyNumberFormat="1" applyFont="1" applyFill="1" applyBorder="1" applyAlignment="1">
      <alignment horizontal="center" vertical="center"/>
    </xf>
    <xf numFmtId="176" fontId="4" fillId="0" borderId="2" xfId="2" applyNumberFormat="1" applyFont="1" applyBorder="1" applyAlignment="1">
      <alignment horizontal="center" vertical="center" wrapText="1"/>
    </xf>
    <xf numFmtId="176" fontId="4" fillId="3" borderId="2" xfId="2" applyNumberFormat="1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left" vertical="center"/>
    </xf>
    <xf numFmtId="177" fontId="3" fillId="0" borderId="2" xfId="2" applyNumberFormat="1" applyFont="1" applyBorder="1" applyAlignment="1">
      <alignment horizontal="center" vertical="center"/>
    </xf>
    <xf numFmtId="0" fontId="3" fillId="3" borderId="2" xfId="2" applyFont="1" applyFill="1" applyBorder="1">
      <alignment vertical="center"/>
    </xf>
    <xf numFmtId="0" fontId="8" fillId="0" borderId="0" xfId="2" applyFont="1" applyAlignment="1">
      <alignment horizontal="left" vertical="center" wrapText="1"/>
    </xf>
    <xf numFmtId="0" fontId="9" fillId="0" borderId="0" xfId="2" applyFont="1">
      <alignment vertical="center"/>
    </xf>
    <xf numFmtId="0" fontId="10" fillId="0" borderId="13" xfId="4" applyFont="1" applyBorder="1" applyAlignment="1">
      <alignment horizontal="center" vertical="center"/>
    </xf>
    <xf numFmtId="41" fontId="11" fillId="0" borderId="0" xfId="3" applyNumberFormat="1" applyFont="1" applyAlignment="1" applyProtection="1">
      <alignment horizontal="center" vertical="center" wrapText="1"/>
      <protection locked="0"/>
    </xf>
    <xf numFmtId="0" fontId="11" fillId="0" borderId="0" xfId="3" applyFont="1" applyAlignment="1" applyProtection="1">
      <alignment horizontal="center" vertical="center" wrapText="1"/>
      <protection locked="0"/>
    </xf>
    <xf numFmtId="0" fontId="12" fillId="0" borderId="0" xfId="2" applyFont="1" applyAlignment="1">
      <alignment horizontal="center" vertical="center" wrapText="1"/>
    </xf>
    <xf numFmtId="182" fontId="9" fillId="0" borderId="0" xfId="2" applyNumberFormat="1" applyFont="1">
      <alignment vertical="center"/>
    </xf>
    <xf numFmtId="41" fontId="13" fillId="0" borderId="0" xfId="3" applyNumberFormat="1" applyFont="1" applyProtection="1">
      <alignment vertical="center"/>
      <protection locked="0"/>
    </xf>
    <xf numFmtId="0" fontId="13" fillId="0" borderId="0" xfId="3" applyFont="1" applyAlignment="1" applyProtection="1">
      <alignment horizontal="right" vertical="center"/>
      <protection locked="0"/>
    </xf>
    <xf numFmtId="0" fontId="14" fillId="0" borderId="13" xfId="4" applyFont="1" applyBorder="1" applyAlignment="1">
      <alignment horizontal="center" vertical="center"/>
    </xf>
    <xf numFmtId="183" fontId="14" fillId="0" borderId="13" xfId="2" applyNumberFormat="1" applyFont="1" applyBorder="1" applyAlignment="1">
      <alignment horizontal="center" vertical="center" wrapText="1"/>
    </xf>
    <xf numFmtId="184" fontId="14" fillId="0" borderId="13" xfId="2" applyNumberFormat="1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/>
    </xf>
    <xf numFmtId="41" fontId="15" fillId="0" borderId="0" xfId="3" applyNumberFormat="1" applyFont="1" applyProtection="1">
      <alignment vertical="center"/>
      <protection locked="0"/>
    </xf>
    <xf numFmtId="181" fontId="16" fillId="0" borderId="0" xfId="3" applyNumberFormat="1" applyFont="1" applyProtection="1">
      <alignment vertical="center"/>
      <protection locked="0"/>
    </xf>
    <xf numFmtId="185" fontId="15" fillId="0" borderId="0" xfId="3" applyNumberFormat="1" applyFont="1" applyProtection="1">
      <alignment vertical="center"/>
      <protection locked="0"/>
    </xf>
    <xf numFmtId="0" fontId="9" fillId="0" borderId="0" xfId="2" applyFont="1" applyAlignment="1">
      <alignment horizontal="center" vertical="center"/>
    </xf>
    <xf numFmtId="186" fontId="17" fillId="0" borderId="0" xfId="2" applyNumberFormat="1" applyFont="1" applyAlignment="1">
      <alignment horizontal="center" vertical="center"/>
    </xf>
    <xf numFmtId="9" fontId="17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horizontal="left" vertical="center"/>
    </xf>
    <xf numFmtId="43" fontId="9" fillId="0" borderId="0" xfId="2" applyNumberFormat="1" applyFont="1">
      <alignment vertical="center"/>
    </xf>
    <xf numFmtId="186" fontId="9" fillId="0" borderId="0" xfId="2" applyNumberFormat="1" applyFont="1">
      <alignment vertical="center"/>
    </xf>
    <xf numFmtId="187" fontId="9" fillId="0" borderId="0" xfId="2" applyNumberFormat="1" applyFont="1">
      <alignment vertical="center"/>
    </xf>
    <xf numFmtId="0" fontId="18" fillId="0" borderId="13" xfId="2" applyFont="1" applyBorder="1" applyAlignment="1">
      <alignment horizontal="left" vertical="center" wrapText="1"/>
    </xf>
    <xf numFmtId="184" fontId="10" fillId="0" borderId="13" xfId="2" applyNumberFormat="1" applyFont="1" applyBorder="1" applyAlignment="1">
      <alignment horizontal="center" vertical="center" wrapText="1"/>
    </xf>
    <xf numFmtId="0" fontId="19" fillId="0" borderId="13" xfId="2" applyFont="1" applyBorder="1" applyAlignment="1">
      <alignment horizontal="center" vertical="center"/>
    </xf>
    <xf numFmtId="179" fontId="14" fillId="0" borderId="13" xfId="2" applyNumberFormat="1" applyFont="1" applyBorder="1" applyAlignment="1">
      <alignment horizontal="center" vertical="center"/>
    </xf>
    <xf numFmtId="181" fontId="14" fillId="0" borderId="13" xfId="2" applyNumberFormat="1" applyFont="1" applyBorder="1" applyAlignment="1">
      <alignment horizontal="center" vertical="center"/>
    </xf>
    <xf numFmtId="0" fontId="4" fillId="3" borderId="0" xfId="2" applyFont="1" applyFill="1">
      <alignment vertical="center"/>
    </xf>
    <xf numFmtId="0" fontId="2" fillId="3" borderId="0" xfId="2" applyFont="1" applyFill="1">
      <alignment vertical="center"/>
    </xf>
    <xf numFmtId="177" fontId="2" fillId="3" borderId="0" xfId="2" applyNumberFormat="1" applyFont="1" applyFill="1">
      <alignment vertical="center"/>
    </xf>
    <xf numFmtId="177" fontId="24" fillId="3" borderId="2" xfId="2" applyNumberFormat="1" applyFont="1" applyFill="1" applyBorder="1" applyAlignment="1">
      <alignment horizontal="center" vertical="center"/>
    </xf>
    <xf numFmtId="0" fontId="25" fillId="0" borderId="13" xfId="2" applyFont="1" applyBorder="1" applyAlignment="1">
      <alignment horizontal="left" vertical="center"/>
    </xf>
    <xf numFmtId="0" fontId="24" fillId="3" borderId="2" xfId="2" applyFont="1" applyFill="1" applyBorder="1" applyAlignment="1">
      <alignment vertical="center" wrapText="1"/>
    </xf>
    <xf numFmtId="0" fontId="24" fillId="0" borderId="2" xfId="2" applyFont="1" applyBorder="1" applyAlignment="1">
      <alignment horizontal="left" vertical="center"/>
    </xf>
    <xf numFmtId="0" fontId="26" fillId="3" borderId="2" xfId="2" applyFont="1" applyFill="1" applyBorder="1" applyAlignment="1">
      <alignment horizontal="left" vertical="center"/>
    </xf>
    <xf numFmtId="0" fontId="27" fillId="3" borderId="2" xfId="2" applyFont="1" applyFill="1" applyBorder="1" applyAlignment="1">
      <alignment vertical="center" wrapText="1"/>
    </xf>
    <xf numFmtId="0" fontId="27" fillId="0" borderId="2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29" fillId="0" borderId="0" xfId="0" applyFont="1" applyAlignment="1">
      <alignment horizontal="left" vertical="center" wrapText="1" indent="1"/>
    </xf>
    <xf numFmtId="0" fontId="38" fillId="0" borderId="0" xfId="0" applyFont="1"/>
    <xf numFmtId="0" fontId="31" fillId="0" borderId="0" xfId="0" applyFont="1" applyAlignment="1">
      <alignment horizontal="left"/>
    </xf>
    <xf numFmtId="0" fontId="39" fillId="0" borderId="0" xfId="0" applyFont="1"/>
    <xf numFmtId="0" fontId="41" fillId="0" borderId="0" xfId="0" applyFont="1" applyAlignment="1">
      <alignment horizontal="left" vertical="center" wrapText="1" indent="1"/>
    </xf>
    <xf numFmtId="0" fontId="40" fillId="0" borderId="0" xfId="0" applyFont="1" applyAlignment="1">
      <alignment horizontal="left" vertical="center" wrapText="1" indent="1"/>
    </xf>
    <xf numFmtId="0" fontId="32" fillId="0" borderId="0" xfId="0" applyFont="1" applyAlignment="1">
      <alignment vertical="center" wrapText="1"/>
    </xf>
    <xf numFmtId="0" fontId="31" fillId="0" borderId="0" xfId="0" applyFont="1" applyAlignment="1">
      <alignment wrapText="1"/>
    </xf>
    <xf numFmtId="0" fontId="31" fillId="0" borderId="0" xfId="0" applyFont="1" applyAlignment="1">
      <alignment horizontal="left" vertical="center"/>
    </xf>
    <xf numFmtId="0" fontId="39" fillId="0" borderId="16" xfId="0" applyFont="1" applyBorder="1"/>
    <xf numFmtId="0" fontId="39" fillId="0" borderId="17" xfId="0" applyFont="1" applyBorder="1"/>
    <xf numFmtId="0" fontId="39" fillId="0" borderId="18" xfId="0" applyFont="1" applyBorder="1"/>
    <xf numFmtId="0" fontId="31" fillId="0" borderId="12" xfId="0" applyFont="1" applyBorder="1"/>
    <xf numFmtId="0" fontId="31" fillId="0" borderId="0" xfId="0" applyFont="1" applyBorder="1"/>
    <xf numFmtId="0" fontId="31" fillId="0" borderId="3" xfId="0" applyFont="1" applyBorder="1"/>
    <xf numFmtId="0" fontId="31" fillId="0" borderId="19" xfId="0" applyFont="1" applyBorder="1"/>
    <xf numFmtId="0" fontId="31" fillId="0" borderId="1" xfId="0" applyFont="1" applyBorder="1"/>
    <xf numFmtId="0" fontId="31" fillId="0" borderId="20" xfId="0" applyFont="1" applyBorder="1"/>
    <xf numFmtId="0" fontId="10" fillId="0" borderId="13" xfId="4" applyFont="1" applyBorder="1" applyAlignment="1">
      <alignment horizontal="center" vertical="center"/>
    </xf>
    <xf numFmtId="0" fontId="10" fillId="0" borderId="13" xfId="4" applyFont="1" applyBorder="1" applyAlignment="1">
      <alignment horizontal="right" vertical="center"/>
    </xf>
    <xf numFmtId="0" fontId="10" fillId="0" borderId="13" xfId="4" applyFont="1" applyBorder="1" applyAlignment="1">
      <alignment horizontal="left" vertical="center"/>
    </xf>
    <xf numFmtId="179" fontId="10" fillId="0" borderId="13" xfId="2" applyNumberFormat="1" applyFont="1" applyBorder="1" applyAlignment="1">
      <alignment horizontal="center" vertical="center" wrapText="1"/>
    </xf>
    <xf numFmtId="1" fontId="10" fillId="0" borderId="13" xfId="2" applyNumberFormat="1" applyFont="1" applyBorder="1" applyAlignment="1">
      <alignment horizontal="center" vertical="center" wrapText="1"/>
    </xf>
    <xf numFmtId="1" fontId="10" fillId="0" borderId="14" xfId="2" applyNumberFormat="1" applyFont="1" applyBorder="1" applyAlignment="1">
      <alignment horizontal="center" vertical="center" wrapText="1"/>
    </xf>
    <xf numFmtId="1" fontId="10" fillId="0" borderId="15" xfId="2" applyNumberFormat="1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/>
    </xf>
    <xf numFmtId="0" fontId="4" fillId="2" borderId="12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177" fontId="4" fillId="0" borderId="2" xfId="3" applyNumberFormat="1" applyFont="1" applyBorder="1" applyAlignment="1" applyProtection="1">
      <alignment horizontal="center" vertical="center" wrapText="1"/>
      <protection locked="0"/>
    </xf>
    <xf numFmtId="0" fontId="3" fillId="2" borderId="7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 textRotation="255"/>
    </xf>
    <xf numFmtId="0" fontId="3" fillId="0" borderId="5" xfId="2" applyFont="1" applyBorder="1" applyAlignment="1">
      <alignment horizontal="center" vertical="center" textRotation="255"/>
    </xf>
    <xf numFmtId="0" fontId="3" fillId="2" borderId="5" xfId="2" applyFont="1" applyFill="1" applyBorder="1" applyAlignment="1">
      <alignment horizontal="center" vertical="center" textRotation="255"/>
    </xf>
    <xf numFmtId="0" fontId="6" fillId="0" borderId="0" xfId="2" applyFont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32" fillId="0" borderId="0" xfId="0" applyFont="1" applyAlignment="1">
      <alignment vertical="center" wrapText="1"/>
    </xf>
    <xf numFmtId="0" fontId="42" fillId="0" borderId="0" xfId="0" applyFont="1" applyAlignment="1">
      <alignment horizontal="center"/>
    </xf>
  </cellXfs>
  <cellStyles count="5">
    <cellStyle name="Normal" xfId="1" xr:uid="{00000000-0005-0000-0000-000031000000}"/>
    <cellStyle name="常规" xfId="0" builtinId="0"/>
    <cellStyle name="常规 2" xfId="2" xr:uid="{00000000-0005-0000-0000-000032000000}"/>
    <cellStyle name="常规 2 2" xfId="3" xr:uid="{00000000-0005-0000-0000-000033000000}"/>
    <cellStyle name="常规 3" xfId="4" xr:uid="{00000000-0005-0000-0000-000034000000}"/>
  </cellStyles>
  <dxfs count="4">
    <dxf>
      <font>
        <b val="0"/>
        <i val="0"/>
        <strike val="0"/>
        <sz val="12"/>
        <color rgb="FFFFFFFF"/>
      </font>
    </dxf>
    <dxf>
      <font>
        <b val="0"/>
        <i val="0"/>
        <strike val="0"/>
        <sz val="12"/>
        <color rgb="FFFFFFFF"/>
      </font>
    </dxf>
    <dxf>
      <font>
        <b val="0"/>
        <i val="0"/>
        <strike val="0"/>
        <sz val="12"/>
        <color rgb="FFFFFFFF"/>
      </font>
    </dxf>
    <dxf>
      <font>
        <b val="0"/>
        <i val="0"/>
        <strike val="0"/>
        <sz val="12"/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D22" sqref="D22"/>
    </sheetView>
  </sheetViews>
  <sheetFormatPr defaultColWidth="8.21875" defaultRowHeight="13.2" x14ac:dyDescent="0.25"/>
  <cols>
    <col min="1" max="1" width="6.77734375" style="62" customWidth="1"/>
    <col min="2" max="2" width="23.44140625" style="62" customWidth="1"/>
    <col min="3" max="3" width="12.88671875" style="62" customWidth="1"/>
    <col min="4" max="4" width="16.6640625" style="62" customWidth="1"/>
    <col min="5" max="5" width="15.77734375" style="62" customWidth="1"/>
    <col min="6" max="6" width="69.44140625" style="62" customWidth="1"/>
    <col min="7" max="7" width="14.33203125" style="62" customWidth="1"/>
    <col min="8" max="8" width="12" style="62" customWidth="1"/>
    <col min="9" max="9" width="17.109375" style="62" customWidth="1"/>
    <col min="10" max="256" width="8.21875" style="62"/>
    <col min="257" max="257" width="6.77734375" style="62" customWidth="1"/>
    <col min="258" max="258" width="23.44140625" style="62" customWidth="1"/>
    <col min="259" max="259" width="12.88671875" style="62" customWidth="1"/>
    <col min="260" max="260" width="16.6640625" style="62" customWidth="1"/>
    <col min="261" max="261" width="15.77734375" style="62" customWidth="1"/>
    <col min="262" max="262" width="58.109375" style="62" customWidth="1"/>
    <col min="263" max="263" width="14.33203125" style="62" customWidth="1"/>
    <col min="264" max="264" width="12" style="62" customWidth="1"/>
    <col min="265" max="265" width="17.109375" style="62" customWidth="1"/>
    <col min="266" max="512" width="8.21875" style="62"/>
    <col min="513" max="513" width="6.77734375" style="62" customWidth="1"/>
    <col min="514" max="514" width="23.44140625" style="62" customWidth="1"/>
    <col min="515" max="515" width="12.88671875" style="62" customWidth="1"/>
    <col min="516" max="516" width="16.6640625" style="62" customWidth="1"/>
    <col min="517" max="517" width="15.77734375" style="62" customWidth="1"/>
    <col min="518" max="518" width="58.109375" style="62" customWidth="1"/>
    <col min="519" max="519" width="14.33203125" style="62" customWidth="1"/>
    <col min="520" max="520" width="12" style="62" customWidth="1"/>
    <col min="521" max="521" width="17.109375" style="62" customWidth="1"/>
    <col min="522" max="768" width="8.21875" style="62"/>
    <col min="769" max="769" width="6.77734375" style="62" customWidth="1"/>
    <col min="770" max="770" width="23.44140625" style="62" customWidth="1"/>
    <col min="771" max="771" width="12.88671875" style="62" customWidth="1"/>
    <col min="772" max="772" width="16.6640625" style="62" customWidth="1"/>
    <col min="773" max="773" width="15.77734375" style="62" customWidth="1"/>
    <col min="774" max="774" width="58.109375" style="62" customWidth="1"/>
    <col min="775" max="775" width="14.33203125" style="62" customWidth="1"/>
    <col min="776" max="776" width="12" style="62" customWidth="1"/>
    <col min="777" max="777" width="17.109375" style="62" customWidth="1"/>
    <col min="778" max="1024" width="8.21875" style="62"/>
    <col min="1025" max="1025" width="6.77734375" style="62" customWidth="1"/>
    <col min="1026" max="1026" width="23.44140625" style="62" customWidth="1"/>
    <col min="1027" max="1027" width="12.88671875" style="62" customWidth="1"/>
    <col min="1028" max="1028" width="16.6640625" style="62" customWidth="1"/>
    <col min="1029" max="1029" width="15.77734375" style="62" customWidth="1"/>
    <col min="1030" max="1030" width="58.109375" style="62" customWidth="1"/>
    <col min="1031" max="1031" width="14.33203125" style="62" customWidth="1"/>
    <col min="1032" max="1032" width="12" style="62" customWidth="1"/>
    <col min="1033" max="1033" width="17.109375" style="62" customWidth="1"/>
    <col min="1034" max="1280" width="8.21875" style="62"/>
    <col min="1281" max="1281" width="6.77734375" style="62" customWidth="1"/>
    <col min="1282" max="1282" width="23.44140625" style="62" customWidth="1"/>
    <col min="1283" max="1283" width="12.88671875" style="62" customWidth="1"/>
    <col min="1284" max="1284" width="16.6640625" style="62" customWidth="1"/>
    <col min="1285" max="1285" width="15.77734375" style="62" customWidth="1"/>
    <col min="1286" max="1286" width="58.109375" style="62" customWidth="1"/>
    <col min="1287" max="1287" width="14.33203125" style="62" customWidth="1"/>
    <col min="1288" max="1288" width="12" style="62" customWidth="1"/>
    <col min="1289" max="1289" width="17.109375" style="62" customWidth="1"/>
    <col min="1290" max="1536" width="8.21875" style="62"/>
    <col min="1537" max="1537" width="6.77734375" style="62" customWidth="1"/>
    <col min="1538" max="1538" width="23.44140625" style="62" customWidth="1"/>
    <col min="1539" max="1539" width="12.88671875" style="62" customWidth="1"/>
    <col min="1540" max="1540" width="16.6640625" style="62" customWidth="1"/>
    <col min="1541" max="1541" width="15.77734375" style="62" customWidth="1"/>
    <col min="1542" max="1542" width="58.109375" style="62" customWidth="1"/>
    <col min="1543" max="1543" width="14.33203125" style="62" customWidth="1"/>
    <col min="1544" max="1544" width="12" style="62" customWidth="1"/>
    <col min="1545" max="1545" width="17.109375" style="62" customWidth="1"/>
    <col min="1546" max="1792" width="8.21875" style="62"/>
    <col min="1793" max="1793" width="6.77734375" style="62" customWidth="1"/>
    <col min="1794" max="1794" width="23.44140625" style="62" customWidth="1"/>
    <col min="1795" max="1795" width="12.88671875" style="62" customWidth="1"/>
    <col min="1796" max="1796" width="16.6640625" style="62" customWidth="1"/>
    <col min="1797" max="1797" width="15.77734375" style="62" customWidth="1"/>
    <col min="1798" max="1798" width="58.109375" style="62" customWidth="1"/>
    <col min="1799" max="1799" width="14.33203125" style="62" customWidth="1"/>
    <col min="1800" max="1800" width="12" style="62" customWidth="1"/>
    <col min="1801" max="1801" width="17.109375" style="62" customWidth="1"/>
    <col min="1802" max="2048" width="8.21875" style="62"/>
    <col min="2049" max="2049" width="6.77734375" style="62" customWidth="1"/>
    <col min="2050" max="2050" width="23.44140625" style="62" customWidth="1"/>
    <col min="2051" max="2051" width="12.88671875" style="62" customWidth="1"/>
    <col min="2052" max="2052" width="16.6640625" style="62" customWidth="1"/>
    <col min="2053" max="2053" width="15.77734375" style="62" customWidth="1"/>
    <col min="2054" max="2054" width="58.109375" style="62" customWidth="1"/>
    <col min="2055" max="2055" width="14.33203125" style="62" customWidth="1"/>
    <col min="2056" max="2056" width="12" style="62" customWidth="1"/>
    <col min="2057" max="2057" width="17.109375" style="62" customWidth="1"/>
    <col min="2058" max="2304" width="8.21875" style="62"/>
    <col min="2305" max="2305" width="6.77734375" style="62" customWidth="1"/>
    <col min="2306" max="2306" width="23.44140625" style="62" customWidth="1"/>
    <col min="2307" max="2307" width="12.88671875" style="62" customWidth="1"/>
    <col min="2308" max="2308" width="16.6640625" style="62" customWidth="1"/>
    <col min="2309" max="2309" width="15.77734375" style="62" customWidth="1"/>
    <col min="2310" max="2310" width="58.109375" style="62" customWidth="1"/>
    <col min="2311" max="2311" width="14.33203125" style="62" customWidth="1"/>
    <col min="2312" max="2312" width="12" style="62" customWidth="1"/>
    <col min="2313" max="2313" width="17.109375" style="62" customWidth="1"/>
    <col min="2314" max="2560" width="8.21875" style="62"/>
    <col min="2561" max="2561" width="6.77734375" style="62" customWidth="1"/>
    <col min="2562" max="2562" width="23.44140625" style="62" customWidth="1"/>
    <col min="2563" max="2563" width="12.88671875" style="62" customWidth="1"/>
    <col min="2564" max="2564" width="16.6640625" style="62" customWidth="1"/>
    <col min="2565" max="2565" width="15.77734375" style="62" customWidth="1"/>
    <col min="2566" max="2566" width="58.109375" style="62" customWidth="1"/>
    <col min="2567" max="2567" width="14.33203125" style="62" customWidth="1"/>
    <col min="2568" max="2568" width="12" style="62" customWidth="1"/>
    <col min="2569" max="2569" width="17.109375" style="62" customWidth="1"/>
    <col min="2570" max="2816" width="8.21875" style="62"/>
    <col min="2817" max="2817" width="6.77734375" style="62" customWidth="1"/>
    <col min="2818" max="2818" width="23.44140625" style="62" customWidth="1"/>
    <col min="2819" max="2819" width="12.88671875" style="62" customWidth="1"/>
    <col min="2820" max="2820" width="16.6640625" style="62" customWidth="1"/>
    <col min="2821" max="2821" width="15.77734375" style="62" customWidth="1"/>
    <col min="2822" max="2822" width="58.109375" style="62" customWidth="1"/>
    <col min="2823" max="2823" width="14.33203125" style="62" customWidth="1"/>
    <col min="2824" max="2824" width="12" style="62" customWidth="1"/>
    <col min="2825" max="2825" width="17.109375" style="62" customWidth="1"/>
    <col min="2826" max="3072" width="8.21875" style="62"/>
    <col min="3073" max="3073" width="6.77734375" style="62" customWidth="1"/>
    <col min="3074" max="3074" width="23.44140625" style="62" customWidth="1"/>
    <col min="3075" max="3075" width="12.88671875" style="62" customWidth="1"/>
    <col min="3076" max="3076" width="16.6640625" style="62" customWidth="1"/>
    <col min="3077" max="3077" width="15.77734375" style="62" customWidth="1"/>
    <col min="3078" max="3078" width="58.109375" style="62" customWidth="1"/>
    <col min="3079" max="3079" width="14.33203125" style="62" customWidth="1"/>
    <col min="3080" max="3080" width="12" style="62" customWidth="1"/>
    <col min="3081" max="3081" width="17.109375" style="62" customWidth="1"/>
    <col min="3082" max="3328" width="8.21875" style="62"/>
    <col min="3329" max="3329" width="6.77734375" style="62" customWidth="1"/>
    <col min="3330" max="3330" width="23.44140625" style="62" customWidth="1"/>
    <col min="3331" max="3331" width="12.88671875" style="62" customWidth="1"/>
    <col min="3332" max="3332" width="16.6640625" style="62" customWidth="1"/>
    <col min="3333" max="3333" width="15.77734375" style="62" customWidth="1"/>
    <col min="3334" max="3334" width="58.109375" style="62" customWidth="1"/>
    <col min="3335" max="3335" width="14.33203125" style="62" customWidth="1"/>
    <col min="3336" max="3336" width="12" style="62" customWidth="1"/>
    <col min="3337" max="3337" width="17.109375" style="62" customWidth="1"/>
    <col min="3338" max="3584" width="8.21875" style="62"/>
    <col min="3585" max="3585" width="6.77734375" style="62" customWidth="1"/>
    <col min="3586" max="3586" width="23.44140625" style="62" customWidth="1"/>
    <col min="3587" max="3587" width="12.88671875" style="62" customWidth="1"/>
    <col min="3588" max="3588" width="16.6640625" style="62" customWidth="1"/>
    <col min="3589" max="3589" width="15.77734375" style="62" customWidth="1"/>
    <col min="3590" max="3590" width="58.109375" style="62" customWidth="1"/>
    <col min="3591" max="3591" width="14.33203125" style="62" customWidth="1"/>
    <col min="3592" max="3592" width="12" style="62" customWidth="1"/>
    <col min="3593" max="3593" width="17.109375" style="62" customWidth="1"/>
    <col min="3594" max="3840" width="8.21875" style="62"/>
    <col min="3841" max="3841" width="6.77734375" style="62" customWidth="1"/>
    <col min="3842" max="3842" width="23.44140625" style="62" customWidth="1"/>
    <col min="3843" max="3843" width="12.88671875" style="62" customWidth="1"/>
    <col min="3844" max="3844" width="16.6640625" style="62" customWidth="1"/>
    <col min="3845" max="3845" width="15.77734375" style="62" customWidth="1"/>
    <col min="3846" max="3846" width="58.109375" style="62" customWidth="1"/>
    <col min="3847" max="3847" width="14.33203125" style="62" customWidth="1"/>
    <col min="3848" max="3848" width="12" style="62" customWidth="1"/>
    <col min="3849" max="3849" width="17.109375" style="62" customWidth="1"/>
    <col min="3850" max="4096" width="8.21875" style="62"/>
    <col min="4097" max="4097" width="6.77734375" style="62" customWidth="1"/>
    <col min="4098" max="4098" width="23.44140625" style="62" customWidth="1"/>
    <col min="4099" max="4099" width="12.88671875" style="62" customWidth="1"/>
    <col min="4100" max="4100" width="16.6640625" style="62" customWidth="1"/>
    <col min="4101" max="4101" width="15.77734375" style="62" customWidth="1"/>
    <col min="4102" max="4102" width="58.109375" style="62" customWidth="1"/>
    <col min="4103" max="4103" width="14.33203125" style="62" customWidth="1"/>
    <col min="4104" max="4104" width="12" style="62" customWidth="1"/>
    <col min="4105" max="4105" width="17.109375" style="62" customWidth="1"/>
    <col min="4106" max="4352" width="8.21875" style="62"/>
    <col min="4353" max="4353" width="6.77734375" style="62" customWidth="1"/>
    <col min="4354" max="4354" width="23.44140625" style="62" customWidth="1"/>
    <col min="4355" max="4355" width="12.88671875" style="62" customWidth="1"/>
    <col min="4356" max="4356" width="16.6640625" style="62" customWidth="1"/>
    <col min="4357" max="4357" width="15.77734375" style="62" customWidth="1"/>
    <col min="4358" max="4358" width="58.109375" style="62" customWidth="1"/>
    <col min="4359" max="4359" width="14.33203125" style="62" customWidth="1"/>
    <col min="4360" max="4360" width="12" style="62" customWidth="1"/>
    <col min="4361" max="4361" width="17.109375" style="62" customWidth="1"/>
    <col min="4362" max="4608" width="8.21875" style="62"/>
    <col min="4609" max="4609" width="6.77734375" style="62" customWidth="1"/>
    <col min="4610" max="4610" width="23.44140625" style="62" customWidth="1"/>
    <col min="4611" max="4611" width="12.88671875" style="62" customWidth="1"/>
    <col min="4612" max="4612" width="16.6640625" style="62" customWidth="1"/>
    <col min="4613" max="4613" width="15.77734375" style="62" customWidth="1"/>
    <col min="4614" max="4614" width="58.109375" style="62" customWidth="1"/>
    <col min="4615" max="4615" width="14.33203125" style="62" customWidth="1"/>
    <col min="4616" max="4616" width="12" style="62" customWidth="1"/>
    <col min="4617" max="4617" width="17.109375" style="62" customWidth="1"/>
    <col min="4618" max="4864" width="8.21875" style="62"/>
    <col min="4865" max="4865" width="6.77734375" style="62" customWidth="1"/>
    <col min="4866" max="4866" width="23.44140625" style="62" customWidth="1"/>
    <col min="4867" max="4867" width="12.88671875" style="62" customWidth="1"/>
    <col min="4868" max="4868" width="16.6640625" style="62" customWidth="1"/>
    <col min="4869" max="4869" width="15.77734375" style="62" customWidth="1"/>
    <col min="4870" max="4870" width="58.109375" style="62" customWidth="1"/>
    <col min="4871" max="4871" width="14.33203125" style="62" customWidth="1"/>
    <col min="4872" max="4872" width="12" style="62" customWidth="1"/>
    <col min="4873" max="4873" width="17.109375" style="62" customWidth="1"/>
    <col min="4874" max="5120" width="8.21875" style="62"/>
    <col min="5121" max="5121" width="6.77734375" style="62" customWidth="1"/>
    <col min="5122" max="5122" width="23.44140625" style="62" customWidth="1"/>
    <col min="5123" max="5123" width="12.88671875" style="62" customWidth="1"/>
    <col min="5124" max="5124" width="16.6640625" style="62" customWidth="1"/>
    <col min="5125" max="5125" width="15.77734375" style="62" customWidth="1"/>
    <col min="5126" max="5126" width="58.109375" style="62" customWidth="1"/>
    <col min="5127" max="5127" width="14.33203125" style="62" customWidth="1"/>
    <col min="5128" max="5128" width="12" style="62" customWidth="1"/>
    <col min="5129" max="5129" width="17.109375" style="62" customWidth="1"/>
    <col min="5130" max="5376" width="8.21875" style="62"/>
    <col min="5377" max="5377" width="6.77734375" style="62" customWidth="1"/>
    <col min="5378" max="5378" width="23.44140625" style="62" customWidth="1"/>
    <col min="5379" max="5379" width="12.88671875" style="62" customWidth="1"/>
    <col min="5380" max="5380" width="16.6640625" style="62" customWidth="1"/>
    <col min="5381" max="5381" width="15.77734375" style="62" customWidth="1"/>
    <col min="5382" max="5382" width="58.109375" style="62" customWidth="1"/>
    <col min="5383" max="5383" width="14.33203125" style="62" customWidth="1"/>
    <col min="5384" max="5384" width="12" style="62" customWidth="1"/>
    <col min="5385" max="5385" width="17.109375" style="62" customWidth="1"/>
    <col min="5386" max="5632" width="8.21875" style="62"/>
    <col min="5633" max="5633" width="6.77734375" style="62" customWidth="1"/>
    <col min="5634" max="5634" width="23.44140625" style="62" customWidth="1"/>
    <col min="5635" max="5635" width="12.88671875" style="62" customWidth="1"/>
    <col min="5636" max="5636" width="16.6640625" style="62" customWidth="1"/>
    <col min="5637" max="5637" width="15.77734375" style="62" customWidth="1"/>
    <col min="5638" max="5638" width="58.109375" style="62" customWidth="1"/>
    <col min="5639" max="5639" width="14.33203125" style="62" customWidth="1"/>
    <col min="5640" max="5640" width="12" style="62" customWidth="1"/>
    <col min="5641" max="5641" width="17.109375" style="62" customWidth="1"/>
    <col min="5642" max="5888" width="8.21875" style="62"/>
    <col min="5889" max="5889" width="6.77734375" style="62" customWidth="1"/>
    <col min="5890" max="5890" width="23.44140625" style="62" customWidth="1"/>
    <col min="5891" max="5891" width="12.88671875" style="62" customWidth="1"/>
    <col min="5892" max="5892" width="16.6640625" style="62" customWidth="1"/>
    <col min="5893" max="5893" width="15.77734375" style="62" customWidth="1"/>
    <col min="5894" max="5894" width="58.109375" style="62" customWidth="1"/>
    <col min="5895" max="5895" width="14.33203125" style="62" customWidth="1"/>
    <col min="5896" max="5896" width="12" style="62" customWidth="1"/>
    <col min="5897" max="5897" width="17.109375" style="62" customWidth="1"/>
    <col min="5898" max="6144" width="8.21875" style="62"/>
    <col min="6145" max="6145" width="6.77734375" style="62" customWidth="1"/>
    <col min="6146" max="6146" width="23.44140625" style="62" customWidth="1"/>
    <col min="6147" max="6147" width="12.88671875" style="62" customWidth="1"/>
    <col min="6148" max="6148" width="16.6640625" style="62" customWidth="1"/>
    <col min="6149" max="6149" width="15.77734375" style="62" customWidth="1"/>
    <col min="6150" max="6150" width="58.109375" style="62" customWidth="1"/>
    <col min="6151" max="6151" width="14.33203125" style="62" customWidth="1"/>
    <col min="6152" max="6152" width="12" style="62" customWidth="1"/>
    <col min="6153" max="6153" width="17.109375" style="62" customWidth="1"/>
    <col min="6154" max="6400" width="8.21875" style="62"/>
    <col min="6401" max="6401" width="6.77734375" style="62" customWidth="1"/>
    <col min="6402" max="6402" width="23.44140625" style="62" customWidth="1"/>
    <col min="6403" max="6403" width="12.88671875" style="62" customWidth="1"/>
    <col min="6404" max="6404" width="16.6640625" style="62" customWidth="1"/>
    <col min="6405" max="6405" width="15.77734375" style="62" customWidth="1"/>
    <col min="6406" max="6406" width="58.109375" style="62" customWidth="1"/>
    <col min="6407" max="6407" width="14.33203125" style="62" customWidth="1"/>
    <col min="6408" max="6408" width="12" style="62" customWidth="1"/>
    <col min="6409" max="6409" width="17.109375" style="62" customWidth="1"/>
    <col min="6410" max="6656" width="8.21875" style="62"/>
    <col min="6657" max="6657" width="6.77734375" style="62" customWidth="1"/>
    <col min="6658" max="6658" width="23.44140625" style="62" customWidth="1"/>
    <col min="6659" max="6659" width="12.88671875" style="62" customWidth="1"/>
    <col min="6660" max="6660" width="16.6640625" style="62" customWidth="1"/>
    <col min="6661" max="6661" width="15.77734375" style="62" customWidth="1"/>
    <col min="6662" max="6662" width="58.109375" style="62" customWidth="1"/>
    <col min="6663" max="6663" width="14.33203125" style="62" customWidth="1"/>
    <col min="6664" max="6664" width="12" style="62" customWidth="1"/>
    <col min="6665" max="6665" width="17.109375" style="62" customWidth="1"/>
    <col min="6666" max="6912" width="8.21875" style="62"/>
    <col min="6913" max="6913" width="6.77734375" style="62" customWidth="1"/>
    <col min="6914" max="6914" width="23.44140625" style="62" customWidth="1"/>
    <col min="6915" max="6915" width="12.88671875" style="62" customWidth="1"/>
    <col min="6916" max="6916" width="16.6640625" style="62" customWidth="1"/>
    <col min="6917" max="6917" width="15.77734375" style="62" customWidth="1"/>
    <col min="6918" max="6918" width="58.109375" style="62" customWidth="1"/>
    <col min="6919" max="6919" width="14.33203125" style="62" customWidth="1"/>
    <col min="6920" max="6920" width="12" style="62" customWidth="1"/>
    <col min="6921" max="6921" width="17.109375" style="62" customWidth="1"/>
    <col min="6922" max="7168" width="8.21875" style="62"/>
    <col min="7169" max="7169" width="6.77734375" style="62" customWidth="1"/>
    <col min="7170" max="7170" width="23.44140625" style="62" customWidth="1"/>
    <col min="7171" max="7171" width="12.88671875" style="62" customWidth="1"/>
    <col min="7172" max="7172" width="16.6640625" style="62" customWidth="1"/>
    <col min="7173" max="7173" width="15.77734375" style="62" customWidth="1"/>
    <col min="7174" max="7174" width="58.109375" style="62" customWidth="1"/>
    <col min="7175" max="7175" width="14.33203125" style="62" customWidth="1"/>
    <col min="7176" max="7176" width="12" style="62" customWidth="1"/>
    <col min="7177" max="7177" width="17.109375" style="62" customWidth="1"/>
    <col min="7178" max="7424" width="8.21875" style="62"/>
    <col min="7425" max="7425" width="6.77734375" style="62" customWidth="1"/>
    <col min="7426" max="7426" width="23.44140625" style="62" customWidth="1"/>
    <col min="7427" max="7427" width="12.88671875" style="62" customWidth="1"/>
    <col min="7428" max="7428" width="16.6640625" style="62" customWidth="1"/>
    <col min="7429" max="7429" width="15.77734375" style="62" customWidth="1"/>
    <col min="7430" max="7430" width="58.109375" style="62" customWidth="1"/>
    <col min="7431" max="7431" width="14.33203125" style="62" customWidth="1"/>
    <col min="7432" max="7432" width="12" style="62" customWidth="1"/>
    <col min="7433" max="7433" width="17.109375" style="62" customWidth="1"/>
    <col min="7434" max="7680" width="8.21875" style="62"/>
    <col min="7681" max="7681" width="6.77734375" style="62" customWidth="1"/>
    <col min="7682" max="7682" width="23.44140625" style="62" customWidth="1"/>
    <col min="7683" max="7683" width="12.88671875" style="62" customWidth="1"/>
    <col min="7684" max="7684" width="16.6640625" style="62" customWidth="1"/>
    <col min="7685" max="7685" width="15.77734375" style="62" customWidth="1"/>
    <col min="7686" max="7686" width="58.109375" style="62" customWidth="1"/>
    <col min="7687" max="7687" width="14.33203125" style="62" customWidth="1"/>
    <col min="7688" max="7688" width="12" style="62" customWidth="1"/>
    <col min="7689" max="7689" width="17.109375" style="62" customWidth="1"/>
    <col min="7690" max="7936" width="8.21875" style="62"/>
    <col min="7937" max="7937" width="6.77734375" style="62" customWidth="1"/>
    <col min="7938" max="7938" width="23.44140625" style="62" customWidth="1"/>
    <col min="7939" max="7939" width="12.88671875" style="62" customWidth="1"/>
    <col min="7940" max="7940" width="16.6640625" style="62" customWidth="1"/>
    <col min="7941" max="7941" width="15.77734375" style="62" customWidth="1"/>
    <col min="7942" max="7942" width="58.109375" style="62" customWidth="1"/>
    <col min="7943" max="7943" width="14.33203125" style="62" customWidth="1"/>
    <col min="7944" max="7944" width="12" style="62" customWidth="1"/>
    <col min="7945" max="7945" width="17.109375" style="62" customWidth="1"/>
    <col min="7946" max="8192" width="8.21875" style="62"/>
    <col min="8193" max="8193" width="6.77734375" style="62" customWidth="1"/>
    <col min="8194" max="8194" width="23.44140625" style="62" customWidth="1"/>
    <col min="8195" max="8195" width="12.88671875" style="62" customWidth="1"/>
    <col min="8196" max="8196" width="16.6640625" style="62" customWidth="1"/>
    <col min="8197" max="8197" width="15.77734375" style="62" customWidth="1"/>
    <col min="8198" max="8198" width="58.109375" style="62" customWidth="1"/>
    <col min="8199" max="8199" width="14.33203125" style="62" customWidth="1"/>
    <col min="8200" max="8200" width="12" style="62" customWidth="1"/>
    <col min="8201" max="8201" width="17.109375" style="62" customWidth="1"/>
    <col min="8202" max="8448" width="8.21875" style="62"/>
    <col min="8449" max="8449" width="6.77734375" style="62" customWidth="1"/>
    <col min="8450" max="8450" width="23.44140625" style="62" customWidth="1"/>
    <col min="8451" max="8451" width="12.88671875" style="62" customWidth="1"/>
    <col min="8452" max="8452" width="16.6640625" style="62" customWidth="1"/>
    <col min="8453" max="8453" width="15.77734375" style="62" customWidth="1"/>
    <col min="8454" max="8454" width="58.109375" style="62" customWidth="1"/>
    <col min="8455" max="8455" width="14.33203125" style="62" customWidth="1"/>
    <col min="8456" max="8456" width="12" style="62" customWidth="1"/>
    <col min="8457" max="8457" width="17.109375" style="62" customWidth="1"/>
    <col min="8458" max="8704" width="8.21875" style="62"/>
    <col min="8705" max="8705" width="6.77734375" style="62" customWidth="1"/>
    <col min="8706" max="8706" width="23.44140625" style="62" customWidth="1"/>
    <col min="8707" max="8707" width="12.88671875" style="62" customWidth="1"/>
    <col min="8708" max="8708" width="16.6640625" style="62" customWidth="1"/>
    <col min="8709" max="8709" width="15.77734375" style="62" customWidth="1"/>
    <col min="8710" max="8710" width="58.109375" style="62" customWidth="1"/>
    <col min="8711" max="8711" width="14.33203125" style="62" customWidth="1"/>
    <col min="8712" max="8712" width="12" style="62" customWidth="1"/>
    <col min="8713" max="8713" width="17.109375" style="62" customWidth="1"/>
    <col min="8714" max="8960" width="8.21875" style="62"/>
    <col min="8961" max="8961" width="6.77734375" style="62" customWidth="1"/>
    <col min="8962" max="8962" width="23.44140625" style="62" customWidth="1"/>
    <col min="8963" max="8963" width="12.88671875" style="62" customWidth="1"/>
    <col min="8964" max="8964" width="16.6640625" style="62" customWidth="1"/>
    <col min="8965" max="8965" width="15.77734375" style="62" customWidth="1"/>
    <col min="8966" max="8966" width="58.109375" style="62" customWidth="1"/>
    <col min="8967" max="8967" width="14.33203125" style="62" customWidth="1"/>
    <col min="8968" max="8968" width="12" style="62" customWidth="1"/>
    <col min="8969" max="8969" width="17.109375" style="62" customWidth="1"/>
    <col min="8970" max="9216" width="8.21875" style="62"/>
    <col min="9217" max="9217" width="6.77734375" style="62" customWidth="1"/>
    <col min="9218" max="9218" width="23.44140625" style="62" customWidth="1"/>
    <col min="9219" max="9219" width="12.88671875" style="62" customWidth="1"/>
    <col min="9220" max="9220" width="16.6640625" style="62" customWidth="1"/>
    <col min="9221" max="9221" width="15.77734375" style="62" customWidth="1"/>
    <col min="9222" max="9222" width="58.109375" style="62" customWidth="1"/>
    <col min="9223" max="9223" width="14.33203125" style="62" customWidth="1"/>
    <col min="9224" max="9224" width="12" style="62" customWidth="1"/>
    <col min="9225" max="9225" width="17.109375" style="62" customWidth="1"/>
    <col min="9226" max="9472" width="8.21875" style="62"/>
    <col min="9473" max="9473" width="6.77734375" style="62" customWidth="1"/>
    <col min="9474" max="9474" width="23.44140625" style="62" customWidth="1"/>
    <col min="9475" max="9475" width="12.88671875" style="62" customWidth="1"/>
    <col min="9476" max="9476" width="16.6640625" style="62" customWidth="1"/>
    <col min="9477" max="9477" width="15.77734375" style="62" customWidth="1"/>
    <col min="9478" max="9478" width="58.109375" style="62" customWidth="1"/>
    <col min="9479" max="9479" width="14.33203125" style="62" customWidth="1"/>
    <col min="9480" max="9480" width="12" style="62" customWidth="1"/>
    <col min="9481" max="9481" width="17.109375" style="62" customWidth="1"/>
    <col min="9482" max="9728" width="8.21875" style="62"/>
    <col min="9729" max="9729" width="6.77734375" style="62" customWidth="1"/>
    <col min="9730" max="9730" width="23.44140625" style="62" customWidth="1"/>
    <col min="9731" max="9731" width="12.88671875" style="62" customWidth="1"/>
    <col min="9732" max="9732" width="16.6640625" style="62" customWidth="1"/>
    <col min="9733" max="9733" width="15.77734375" style="62" customWidth="1"/>
    <col min="9734" max="9734" width="58.109375" style="62" customWidth="1"/>
    <col min="9735" max="9735" width="14.33203125" style="62" customWidth="1"/>
    <col min="9736" max="9736" width="12" style="62" customWidth="1"/>
    <col min="9737" max="9737" width="17.109375" style="62" customWidth="1"/>
    <col min="9738" max="9984" width="8.21875" style="62"/>
    <col min="9985" max="9985" width="6.77734375" style="62" customWidth="1"/>
    <col min="9986" max="9986" width="23.44140625" style="62" customWidth="1"/>
    <col min="9987" max="9987" width="12.88671875" style="62" customWidth="1"/>
    <col min="9988" max="9988" width="16.6640625" style="62" customWidth="1"/>
    <col min="9989" max="9989" width="15.77734375" style="62" customWidth="1"/>
    <col min="9990" max="9990" width="58.109375" style="62" customWidth="1"/>
    <col min="9991" max="9991" width="14.33203125" style="62" customWidth="1"/>
    <col min="9992" max="9992" width="12" style="62" customWidth="1"/>
    <col min="9993" max="9993" width="17.109375" style="62" customWidth="1"/>
    <col min="9994" max="10240" width="8.21875" style="62"/>
    <col min="10241" max="10241" width="6.77734375" style="62" customWidth="1"/>
    <col min="10242" max="10242" width="23.44140625" style="62" customWidth="1"/>
    <col min="10243" max="10243" width="12.88671875" style="62" customWidth="1"/>
    <col min="10244" max="10244" width="16.6640625" style="62" customWidth="1"/>
    <col min="10245" max="10245" width="15.77734375" style="62" customWidth="1"/>
    <col min="10246" max="10246" width="58.109375" style="62" customWidth="1"/>
    <col min="10247" max="10247" width="14.33203125" style="62" customWidth="1"/>
    <col min="10248" max="10248" width="12" style="62" customWidth="1"/>
    <col min="10249" max="10249" width="17.109375" style="62" customWidth="1"/>
    <col min="10250" max="10496" width="8.21875" style="62"/>
    <col min="10497" max="10497" width="6.77734375" style="62" customWidth="1"/>
    <col min="10498" max="10498" width="23.44140625" style="62" customWidth="1"/>
    <col min="10499" max="10499" width="12.88671875" style="62" customWidth="1"/>
    <col min="10500" max="10500" width="16.6640625" style="62" customWidth="1"/>
    <col min="10501" max="10501" width="15.77734375" style="62" customWidth="1"/>
    <col min="10502" max="10502" width="58.109375" style="62" customWidth="1"/>
    <col min="10503" max="10503" width="14.33203125" style="62" customWidth="1"/>
    <col min="10504" max="10504" width="12" style="62" customWidth="1"/>
    <col min="10505" max="10505" width="17.109375" style="62" customWidth="1"/>
    <col min="10506" max="10752" width="8.21875" style="62"/>
    <col min="10753" max="10753" width="6.77734375" style="62" customWidth="1"/>
    <col min="10754" max="10754" width="23.44140625" style="62" customWidth="1"/>
    <col min="10755" max="10755" width="12.88671875" style="62" customWidth="1"/>
    <col min="10756" max="10756" width="16.6640625" style="62" customWidth="1"/>
    <col min="10757" max="10757" width="15.77734375" style="62" customWidth="1"/>
    <col min="10758" max="10758" width="58.109375" style="62" customWidth="1"/>
    <col min="10759" max="10759" width="14.33203125" style="62" customWidth="1"/>
    <col min="10760" max="10760" width="12" style="62" customWidth="1"/>
    <col min="10761" max="10761" width="17.109375" style="62" customWidth="1"/>
    <col min="10762" max="11008" width="8.21875" style="62"/>
    <col min="11009" max="11009" width="6.77734375" style="62" customWidth="1"/>
    <col min="11010" max="11010" width="23.44140625" style="62" customWidth="1"/>
    <col min="11011" max="11011" width="12.88671875" style="62" customWidth="1"/>
    <col min="11012" max="11012" width="16.6640625" style="62" customWidth="1"/>
    <col min="11013" max="11013" width="15.77734375" style="62" customWidth="1"/>
    <col min="11014" max="11014" width="58.109375" style="62" customWidth="1"/>
    <col min="11015" max="11015" width="14.33203125" style="62" customWidth="1"/>
    <col min="11016" max="11016" width="12" style="62" customWidth="1"/>
    <col min="11017" max="11017" width="17.109375" style="62" customWidth="1"/>
    <col min="11018" max="11264" width="8.21875" style="62"/>
    <col min="11265" max="11265" width="6.77734375" style="62" customWidth="1"/>
    <col min="11266" max="11266" width="23.44140625" style="62" customWidth="1"/>
    <col min="11267" max="11267" width="12.88671875" style="62" customWidth="1"/>
    <col min="11268" max="11268" width="16.6640625" style="62" customWidth="1"/>
    <col min="11269" max="11269" width="15.77734375" style="62" customWidth="1"/>
    <col min="11270" max="11270" width="58.109375" style="62" customWidth="1"/>
    <col min="11271" max="11271" width="14.33203125" style="62" customWidth="1"/>
    <col min="11272" max="11272" width="12" style="62" customWidth="1"/>
    <col min="11273" max="11273" width="17.109375" style="62" customWidth="1"/>
    <col min="11274" max="11520" width="8.21875" style="62"/>
    <col min="11521" max="11521" width="6.77734375" style="62" customWidth="1"/>
    <col min="11522" max="11522" width="23.44140625" style="62" customWidth="1"/>
    <col min="11523" max="11523" width="12.88671875" style="62" customWidth="1"/>
    <col min="11524" max="11524" width="16.6640625" style="62" customWidth="1"/>
    <col min="11525" max="11525" width="15.77734375" style="62" customWidth="1"/>
    <col min="11526" max="11526" width="58.109375" style="62" customWidth="1"/>
    <col min="11527" max="11527" width="14.33203125" style="62" customWidth="1"/>
    <col min="11528" max="11528" width="12" style="62" customWidth="1"/>
    <col min="11529" max="11529" width="17.109375" style="62" customWidth="1"/>
    <col min="11530" max="11776" width="8.21875" style="62"/>
    <col min="11777" max="11777" width="6.77734375" style="62" customWidth="1"/>
    <col min="11778" max="11778" width="23.44140625" style="62" customWidth="1"/>
    <col min="11779" max="11779" width="12.88671875" style="62" customWidth="1"/>
    <col min="11780" max="11780" width="16.6640625" style="62" customWidth="1"/>
    <col min="11781" max="11781" width="15.77734375" style="62" customWidth="1"/>
    <col min="11782" max="11782" width="58.109375" style="62" customWidth="1"/>
    <col min="11783" max="11783" width="14.33203125" style="62" customWidth="1"/>
    <col min="11784" max="11784" width="12" style="62" customWidth="1"/>
    <col min="11785" max="11785" width="17.109375" style="62" customWidth="1"/>
    <col min="11786" max="12032" width="8.21875" style="62"/>
    <col min="12033" max="12033" width="6.77734375" style="62" customWidth="1"/>
    <col min="12034" max="12034" width="23.44140625" style="62" customWidth="1"/>
    <col min="12035" max="12035" width="12.88671875" style="62" customWidth="1"/>
    <col min="12036" max="12036" width="16.6640625" style="62" customWidth="1"/>
    <col min="12037" max="12037" width="15.77734375" style="62" customWidth="1"/>
    <col min="12038" max="12038" width="58.109375" style="62" customWidth="1"/>
    <col min="12039" max="12039" width="14.33203125" style="62" customWidth="1"/>
    <col min="12040" max="12040" width="12" style="62" customWidth="1"/>
    <col min="12041" max="12041" width="17.109375" style="62" customWidth="1"/>
    <col min="12042" max="12288" width="8.21875" style="62"/>
    <col min="12289" max="12289" width="6.77734375" style="62" customWidth="1"/>
    <col min="12290" max="12290" width="23.44140625" style="62" customWidth="1"/>
    <col min="12291" max="12291" width="12.88671875" style="62" customWidth="1"/>
    <col min="12292" max="12292" width="16.6640625" style="62" customWidth="1"/>
    <col min="12293" max="12293" width="15.77734375" style="62" customWidth="1"/>
    <col min="12294" max="12294" width="58.109375" style="62" customWidth="1"/>
    <col min="12295" max="12295" width="14.33203125" style="62" customWidth="1"/>
    <col min="12296" max="12296" width="12" style="62" customWidth="1"/>
    <col min="12297" max="12297" width="17.109375" style="62" customWidth="1"/>
    <col min="12298" max="12544" width="8.21875" style="62"/>
    <col min="12545" max="12545" width="6.77734375" style="62" customWidth="1"/>
    <col min="12546" max="12546" width="23.44140625" style="62" customWidth="1"/>
    <col min="12547" max="12547" width="12.88671875" style="62" customWidth="1"/>
    <col min="12548" max="12548" width="16.6640625" style="62" customWidth="1"/>
    <col min="12549" max="12549" width="15.77734375" style="62" customWidth="1"/>
    <col min="12550" max="12550" width="58.109375" style="62" customWidth="1"/>
    <col min="12551" max="12551" width="14.33203125" style="62" customWidth="1"/>
    <col min="12552" max="12552" width="12" style="62" customWidth="1"/>
    <col min="12553" max="12553" width="17.109375" style="62" customWidth="1"/>
    <col min="12554" max="12800" width="8.21875" style="62"/>
    <col min="12801" max="12801" width="6.77734375" style="62" customWidth="1"/>
    <col min="12802" max="12802" width="23.44140625" style="62" customWidth="1"/>
    <col min="12803" max="12803" width="12.88671875" style="62" customWidth="1"/>
    <col min="12804" max="12804" width="16.6640625" style="62" customWidth="1"/>
    <col min="12805" max="12805" width="15.77734375" style="62" customWidth="1"/>
    <col min="12806" max="12806" width="58.109375" style="62" customWidth="1"/>
    <col min="12807" max="12807" width="14.33203125" style="62" customWidth="1"/>
    <col min="12808" max="12808" width="12" style="62" customWidth="1"/>
    <col min="12809" max="12809" width="17.109375" style="62" customWidth="1"/>
    <col min="12810" max="13056" width="8.21875" style="62"/>
    <col min="13057" max="13057" width="6.77734375" style="62" customWidth="1"/>
    <col min="13058" max="13058" width="23.44140625" style="62" customWidth="1"/>
    <col min="13059" max="13059" width="12.88671875" style="62" customWidth="1"/>
    <col min="13060" max="13060" width="16.6640625" style="62" customWidth="1"/>
    <col min="13061" max="13061" width="15.77734375" style="62" customWidth="1"/>
    <col min="13062" max="13062" width="58.109375" style="62" customWidth="1"/>
    <col min="13063" max="13063" width="14.33203125" style="62" customWidth="1"/>
    <col min="13064" max="13064" width="12" style="62" customWidth="1"/>
    <col min="13065" max="13065" width="17.109375" style="62" customWidth="1"/>
    <col min="13066" max="13312" width="8.21875" style="62"/>
    <col min="13313" max="13313" width="6.77734375" style="62" customWidth="1"/>
    <col min="13314" max="13314" width="23.44140625" style="62" customWidth="1"/>
    <col min="13315" max="13315" width="12.88671875" style="62" customWidth="1"/>
    <col min="13316" max="13316" width="16.6640625" style="62" customWidth="1"/>
    <col min="13317" max="13317" width="15.77734375" style="62" customWidth="1"/>
    <col min="13318" max="13318" width="58.109375" style="62" customWidth="1"/>
    <col min="13319" max="13319" width="14.33203125" style="62" customWidth="1"/>
    <col min="13320" max="13320" width="12" style="62" customWidth="1"/>
    <col min="13321" max="13321" width="17.109375" style="62" customWidth="1"/>
    <col min="13322" max="13568" width="8.21875" style="62"/>
    <col min="13569" max="13569" width="6.77734375" style="62" customWidth="1"/>
    <col min="13570" max="13570" width="23.44140625" style="62" customWidth="1"/>
    <col min="13571" max="13571" width="12.88671875" style="62" customWidth="1"/>
    <col min="13572" max="13572" width="16.6640625" style="62" customWidth="1"/>
    <col min="13573" max="13573" width="15.77734375" style="62" customWidth="1"/>
    <col min="13574" max="13574" width="58.109375" style="62" customWidth="1"/>
    <col min="13575" max="13575" width="14.33203125" style="62" customWidth="1"/>
    <col min="13576" max="13576" width="12" style="62" customWidth="1"/>
    <col min="13577" max="13577" width="17.109375" style="62" customWidth="1"/>
    <col min="13578" max="13824" width="8.21875" style="62"/>
    <col min="13825" max="13825" width="6.77734375" style="62" customWidth="1"/>
    <col min="13826" max="13826" width="23.44140625" style="62" customWidth="1"/>
    <col min="13827" max="13827" width="12.88671875" style="62" customWidth="1"/>
    <col min="13828" max="13828" width="16.6640625" style="62" customWidth="1"/>
    <col min="13829" max="13829" width="15.77734375" style="62" customWidth="1"/>
    <col min="13830" max="13830" width="58.109375" style="62" customWidth="1"/>
    <col min="13831" max="13831" width="14.33203125" style="62" customWidth="1"/>
    <col min="13832" max="13832" width="12" style="62" customWidth="1"/>
    <col min="13833" max="13833" width="17.109375" style="62" customWidth="1"/>
    <col min="13834" max="14080" width="8.21875" style="62"/>
    <col min="14081" max="14081" width="6.77734375" style="62" customWidth="1"/>
    <col min="14082" max="14082" width="23.44140625" style="62" customWidth="1"/>
    <col min="14083" max="14083" width="12.88671875" style="62" customWidth="1"/>
    <col min="14084" max="14084" width="16.6640625" style="62" customWidth="1"/>
    <col min="14085" max="14085" width="15.77734375" style="62" customWidth="1"/>
    <col min="14086" max="14086" width="58.109375" style="62" customWidth="1"/>
    <col min="14087" max="14087" width="14.33203125" style="62" customWidth="1"/>
    <col min="14088" max="14088" width="12" style="62" customWidth="1"/>
    <col min="14089" max="14089" width="17.109375" style="62" customWidth="1"/>
    <col min="14090" max="14336" width="8.21875" style="62"/>
    <col min="14337" max="14337" width="6.77734375" style="62" customWidth="1"/>
    <col min="14338" max="14338" width="23.44140625" style="62" customWidth="1"/>
    <col min="14339" max="14339" width="12.88671875" style="62" customWidth="1"/>
    <col min="14340" max="14340" width="16.6640625" style="62" customWidth="1"/>
    <col min="14341" max="14341" width="15.77734375" style="62" customWidth="1"/>
    <col min="14342" max="14342" width="58.109375" style="62" customWidth="1"/>
    <col min="14343" max="14343" width="14.33203125" style="62" customWidth="1"/>
    <col min="14344" max="14344" width="12" style="62" customWidth="1"/>
    <col min="14345" max="14345" width="17.109375" style="62" customWidth="1"/>
    <col min="14346" max="14592" width="8.21875" style="62"/>
    <col min="14593" max="14593" width="6.77734375" style="62" customWidth="1"/>
    <col min="14594" max="14594" width="23.44140625" style="62" customWidth="1"/>
    <col min="14595" max="14595" width="12.88671875" style="62" customWidth="1"/>
    <col min="14596" max="14596" width="16.6640625" style="62" customWidth="1"/>
    <col min="14597" max="14597" width="15.77734375" style="62" customWidth="1"/>
    <col min="14598" max="14598" width="58.109375" style="62" customWidth="1"/>
    <col min="14599" max="14599" width="14.33203125" style="62" customWidth="1"/>
    <col min="14600" max="14600" width="12" style="62" customWidth="1"/>
    <col min="14601" max="14601" width="17.109375" style="62" customWidth="1"/>
    <col min="14602" max="14848" width="8.21875" style="62"/>
    <col min="14849" max="14849" width="6.77734375" style="62" customWidth="1"/>
    <col min="14850" max="14850" width="23.44140625" style="62" customWidth="1"/>
    <col min="14851" max="14851" width="12.88671875" style="62" customWidth="1"/>
    <col min="14852" max="14852" width="16.6640625" style="62" customWidth="1"/>
    <col min="14853" max="14853" width="15.77734375" style="62" customWidth="1"/>
    <col min="14854" max="14854" width="58.109375" style="62" customWidth="1"/>
    <col min="14855" max="14855" width="14.33203125" style="62" customWidth="1"/>
    <col min="14856" max="14856" width="12" style="62" customWidth="1"/>
    <col min="14857" max="14857" width="17.109375" style="62" customWidth="1"/>
    <col min="14858" max="15104" width="8.21875" style="62"/>
    <col min="15105" max="15105" width="6.77734375" style="62" customWidth="1"/>
    <col min="15106" max="15106" width="23.44140625" style="62" customWidth="1"/>
    <col min="15107" max="15107" width="12.88671875" style="62" customWidth="1"/>
    <col min="15108" max="15108" width="16.6640625" style="62" customWidth="1"/>
    <col min="15109" max="15109" width="15.77734375" style="62" customWidth="1"/>
    <col min="15110" max="15110" width="58.109375" style="62" customWidth="1"/>
    <col min="15111" max="15111" width="14.33203125" style="62" customWidth="1"/>
    <col min="15112" max="15112" width="12" style="62" customWidth="1"/>
    <col min="15113" max="15113" width="17.109375" style="62" customWidth="1"/>
    <col min="15114" max="15360" width="8.21875" style="62"/>
    <col min="15361" max="15361" width="6.77734375" style="62" customWidth="1"/>
    <col min="15362" max="15362" width="23.44140625" style="62" customWidth="1"/>
    <col min="15363" max="15363" width="12.88671875" style="62" customWidth="1"/>
    <col min="15364" max="15364" width="16.6640625" style="62" customWidth="1"/>
    <col min="15365" max="15365" width="15.77734375" style="62" customWidth="1"/>
    <col min="15366" max="15366" width="58.109375" style="62" customWidth="1"/>
    <col min="15367" max="15367" width="14.33203125" style="62" customWidth="1"/>
    <col min="15368" max="15368" width="12" style="62" customWidth="1"/>
    <col min="15369" max="15369" width="17.109375" style="62" customWidth="1"/>
    <col min="15370" max="15616" width="8.21875" style="62"/>
    <col min="15617" max="15617" width="6.77734375" style="62" customWidth="1"/>
    <col min="15618" max="15618" width="23.44140625" style="62" customWidth="1"/>
    <col min="15619" max="15619" width="12.88671875" style="62" customWidth="1"/>
    <col min="15620" max="15620" width="16.6640625" style="62" customWidth="1"/>
    <col min="15621" max="15621" width="15.77734375" style="62" customWidth="1"/>
    <col min="15622" max="15622" width="58.109375" style="62" customWidth="1"/>
    <col min="15623" max="15623" width="14.33203125" style="62" customWidth="1"/>
    <col min="15624" max="15624" width="12" style="62" customWidth="1"/>
    <col min="15625" max="15625" width="17.109375" style="62" customWidth="1"/>
    <col min="15626" max="15872" width="8.21875" style="62"/>
    <col min="15873" max="15873" width="6.77734375" style="62" customWidth="1"/>
    <col min="15874" max="15874" width="23.44140625" style="62" customWidth="1"/>
    <col min="15875" max="15875" width="12.88671875" style="62" customWidth="1"/>
    <col min="15876" max="15876" width="16.6640625" style="62" customWidth="1"/>
    <col min="15877" max="15877" width="15.77734375" style="62" customWidth="1"/>
    <col min="15878" max="15878" width="58.109375" style="62" customWidth="1"/>
    <col min="15879" max="15879" width="14.33203125" style="62" customWidth="1"/>
    <col min="15880" max="15880" width="12" style="62" customWidth="1"/>
    <col min="15881" max="15881" width="17.109375" style="62" customWidth="1"/>
    <col min="15882" max="16128" width="8.21875" style="62"/>
    <col min="16129" max="16129" width="6.77734375" style="62" customWidth="1"/>
    <col min="16130" max="16130" width="23.44140625" style="62" customWidth="1"/>
    <col min="16131" max="16131" width="12.88671875" style="62" customWidth="1"/>
    <col min="16132" max="16132" width="16.6640625" style="62" customWidth="1"/>
    <col min="16133" max="16133" width="15.77734375" style="62" customWidth="1"/>
    <col min="16134" max="16134" width="58.109375" style="62" customWidth="1"/>
    <col min="16135" max="16135" width="14.33203125" style="62" customWidth="1"/>
    <col min="16136" max="16136" width="12" style="62" customWidth="1"/>
    <col min="16137" max="16137" width="17.109375" style="62" customWidth="1"/>
    <col min="16138" max="16384" width="8.21875" style="62"/>
  </cols>
  <sheetData>
    <row r="1" spans="1:12" ht="24" customHeight="1" x14ac:dyDescent="0.25">
      <c r="A1" s="121" t="s">
        <v>0</v>
      </c>
      <c r="B1" s="121"/>
      <c r="C1" s="121"/>
      <c r="D1" s="122"/>
      <c r="E1" s="122"/>
      <c r="F1" s="123"/>
    </row>
    <row r="2" spans="1:12" ht="16.05" customHeight="1" x14ac:dyDescent="0.25">
      <c r="A2" s="122"/>
      <c r="B2" s="122"/>
      <c r="C2" s="122"/>
      <c r="D2" s="122"/>
      <c r="E2" s="122"/>
      <c r="F2" s="122"/>
      <c r="G2" s="64"/>
      <c r="H2" s="65"/>
      <c r="I2" s="66"/>
      <c r="L2" s="67"/>
    </row>
    <row r="3" spans="1:12" ht="21" customHeight="1" x14ac:dyDescent="0.25">
      <c r="A3" s="121" t="s">
        <v>1</v>
      </c>
      <c r="B3" s="121" t="s">
        <v>2</v>
      </c>
      <c r="C3" s="124" t="s">
        <v>3</v>
      </c>
      <c r="D3" s="125" t="s">
        <v>4</v>
      </c>
      <c r="E3" s="126" t="s">
        <v>5</v>
      </c>
      <c r="F3" s="128" t="s">
        <v>6</v>
      </c>
      <c r="G3" s="68"/>
      <c r="H3" s="69"/>
      <c r="I3" s="66"/>
      <c r="L3" s="67"/>
    </row>
    <row r="4" spans="1:12" ht="21" customHeight="1" x14ac:dyDescent="0.25">
      <c r="A4" s="121"/>
      <c r="B4" s="121"/>
      <c r="C4" s="124"/>
      <c r="D4" s="125"/>
      <c r="E4" s="127"/>
      <c r="F4" s="128"/>
      <c r="G4" s="68"/>
      <c r="H4" s="69"/>
      <c r="I4" s="66"/>
      <c r="L4" s="67"/>
    </row>
    <row r="5" spans="1:12" ht="20.55" customHeight="1" x14ac:dyDescent="0.25">
      <c r="A5" s="70">
        <v>1</v>
      </c>
      <c r="B5" s="70" t="s">
        <v>7</v>
      </c>
      <c r="C5" s="71">
        <f>光伏工程!M3</f>
        <v>26040</v>
      </c>
      <c r="D5" s="72">
        <f>光伏工程!J213</f>
        <v>176932</v>
      </c>
      <c r="E5" s="72"/>
      <c r="F5" s="73"/>
      <c r="G5" s="74"/>
      <c r="H5" s="75"/>
      <c r="I5" s="66"/>
      <c r="L5" s="67"/>
    </row>
    <row r="6" spans="1:12" ht="20.55" customHeight="1" x14ac:dyDescent="0.25">
      <c r="A6" s="70">
        <v>2</v>
      </c>
      <c r="B6" s="70" t="s">
        <v>8</v>
      </c>
      <c r="C6" s="71"/>
      <c r="D6" s="72">
        <f>储能工程!J129</f>
        <v>186400</v>
      </c>
      <c r="E6" s="72">
        <f>储能工程!J5</f>
        <v>183400</v>
      </c>
      <c r="F6" s="73"/>
      <c r="G6" s="76"/>
      <c r="H6" s="77"/>
      <c r="I6" s="66"/>
      <c r="L6" s="67"/>
    </row>
    <row r="7" spans="1:12" ht="20.55" customHeight="1" x14ac:dyDescent="0.25">
      <c r="A7" s="70">
        <v>3</v>
      </c>
      <c r="B7" s="70" t="s">
        <v>9</v>
      </c>
      <c r="C7" s="71"/>
      <c r="D7" s="72">
        <f>充电桩工程!J71</f>
        <v>618300</v>
      </c>
      <c r="E7" s="72">
        <f>充电桩工程!J7+充电桩工程!J9</f>
        <v>598000</v>
      </c>
      <c r="F7" s="73"/>
      <c r="G7" s="78"/>
      <c r="H7" s="79"/>
      <c r="I7" s="66"/>
      <c r="L7" s="67"/>
    </row>
    <row r="8" spans="1:12" ht="20.55" customHeight="1" x14ac:dyDescent="0.25">
      <c r="A8" s="70">
        <v>4</v>
      </c>
      <c r="B8" s="70" t="s">
        <v>10</v>
      </c>
      <c r="C8" s="71"/>
      <c r="D8" s="72">
        <f>光伏工程!K213+光伏工程!L213+储能工程!K129+储能工程!L129+充电桩工程!K71+充电桩工程!L71</f>
        <v>668923.36199999996</v>
      </c>
      <c r="E8" s="72"/>
      <c r="F8" s="93" t="s">
        <v>407</v>
      </c>
      <c r="G8" s="81"/>
      <c r="I8" s="66"/>
      <c r="L8" s="67"/>
    </row>
    <row r="9" spans="1:12" ht="20.55" customHeight="1" x14ac:dyDescent="0.25">
      <c r="A9" s="70">
        <v>5</v>
      </c>
      <c r="B9" s="70" t="s">
        <v>11</v>
      </c>
      <c r="C9" s="71"/>
      <c r="D9" s="72">
        <f>光伏工程!L224+储能工程!L137+充电桩工程!L73</f>
        <v>0</v>
      </c>
      <c r="E9" s="72"/>
      <c r="F9" s="80"/>
      <c r="I9" s="66"/>
      <c r="L9" s="67"/>
    </row>
    <row r="10" spans="1:12" ht="20.55" customHeight="1" x14ac:dyDescent="0.25">
      <c r="A10" s="70">
        <v>6</v>
      </c>
      <c r="B10" s="70" t="s">
        <v>12</v>
      </c>
      <c r="C10" s="71"/>
      <c r="D10" s="72">
        <f>SUM(光伏工程!L215:L217)</f>
        <v>30000</v>
      </c>
      <c r="E10" s="72"/>
      <c r="F10" s="80" t="s">
        <v>13</v>
      </c>
      <c r="G10" s="82"/>
      <c r="H10" s="83"/>
      <c r="I10" s="66"/>
      <c r="L10" s="67"/>
    </row>
    <row r="11" spans="1:12" ht="20.55" customHeight="1" x14ac:dyDescent="0.25">
      <c r="A11" s="70">
        <v>7</v>
      </c>
      <c r="B11" s="70" t="s">
        <v>14</v>
      </c>
      <c r="C11" s="71"/>
      <c r="D11" s="72">
        <f>SUM(光伏工程!L219:L222)</f>
        <v>50000</v>
      </c>
      <c r="E11" s="72"/>
      <c r="F11" s="80" t="s">
        <v>15</v>
      </c>
      <c r="I11" s="66"/>
      <c r="L11" s="67"/>
    </row>
    <row r="12" spans="1:12" ht="20.55" customHeight="1" x14ac:dyDescent="0.25">
      <c r="A12" s="70">
        <v>8</v>
      </c>
      <c r="B12" s="70" t="s">
        <v>16</v>
      </c>
      <c r="C12" s="71"/>
      <c r="D12" s="72">
        <f>D8*3%</f>
        <v>20067.700859999997</v>
      </c>
      <c r="E12" s="72"/>
      <c r="F12" s="84" t="s">
        <v>17</v>
      </c>
      <c r="I12" s="66"/>
      <c r="L12" s="67"/>
    </row>
    <row r="13" spans="1:12" ht="20.55" customHeight="1" x14ac:dyDescent="0.25">
      <c r="A13" s="70">
        <v>9</v>
      </c>
      <c r="B13" s="70" t="s">
        <v>18</v>
      </c>
      <c r="C13" s="71"/>
      <c r="D13" s="72">
        <v>0</v>
      </c>
      <c r="E13" s="72"/>
      <c r="F13" s="84" t="s">
        <v>19</v>
      </c>
      <c r="I13" s="66"/>
      <c r="L13" s="67"/>
    </row>
    <row r="14" spans="1:12" ht="20.55" customHeight="1" x14ac:dyDescent="0.25">
      <c r="A14" s="70">
        <v>10</v>
      </c>
      <c r="B14" s="70" t="s">
        <v>20</v>
      </c>
      <c r="C14" s="71"/>
      <c r="D14" s="72">
        <f>(SUM(D5:D8)-SUM(E5:E8))*6%</f>
        <v>52149.321719999993</v>
      </c>
      <c r="E14" s="72"/>
      <c r="F14" s="80" t="s">
        <v>21</v>
      </c>
      <c r="I14" s="66"/>
    </row>
    <row r="15" spans="1:12" ht="20.55" customHeight="1" x14ac:dyDescent="0.25">
      <c r="A15" s="70">
        <v>11</v>
      </c>
      <c r="B15" s="70" t="s">
        <v>22</v>
      </c>
      <c r="C15" s="71"/>
      <c r="D15" s="72">
        <f>SUM(D5:D14)*0.0005+1000000*0.0015+900*10*C5/1000000</f>
        <v>2635.7461922900002</v>
      </c>
      <c r="E15" s="72"/>
      <c r="F15" s="84" t="s">
        <v>23</v>
      </c>
      <c r="I15" s="66"/>
      <c r="L15" s="67"/>
    </row>
    <row r="16" spans="1:12" ht="20.55" customHeight="1" x14ac:dyDescent="0.25">
      <c r="A16" s="70">
        <v>12</v>
      </c>
      <c r="B16" s="70" t="s">
        <v>24</v>
      </c>
      <c r="C16" s="71"/>
      <c r="D16" s="72">
        <f>SUM(D5:D15)*1.5%</f>
        <v>27081.121961584347</v>
      </c>
      <c r="E16" s="72"/>
      <c r="F16" s="84" t="s">
        <v>25</v>
      </c>
      <c r="I16" s="66"/>
    </row>
    <row r="17" spans="1:6" ht="20.55" customHeight="1" x14ac:dyDescent="0.25">
      <c r="A17" s="70"/>
      <c r="B17" s="63" t="s">
        <v>26</v>
      </c>
      <c r="C17" s="71"/>
      <c r="D17" s="85">
        <f>SUM(D5:D16)</f>
        <v>1832489.2527338741</v>
      </c>
      <c r="E17" s="85">
        <f>SUM(E5:E16)</f>
        <v>781400</v>
      </c>
      <c r="F17" s="86"/>
    </row>
    <row r="18" spans="1:6" ht="20.55" customHeight="1" x14ac:dyDescent="0.25">
      <c r="A18" s="70"/>
      <c r="B18" s="86" t="s">
        <v>27</v>
      </c>
      <c r="C18" s="87"/>
      <c r="D18" s="88">
        <f>D17/C5</f>
        <v>70.372091118812364</v>
      </c>
      <c r="E18" s="88">
        <f>E17/C5</f>
        <v>30.007680491551458</v>
      </c>
      <c r="F18" s="88"/>
    </row>
  </sheetData>
  <mergeCells count="8">
    <mergeCell ref="A1:F1"/>
    <mergeCell ref="A2:F2"/>
    <mergeCell ref="A3:A4"/>
    <mergeCell ref="B3:B4"/>
    <mergeCell ref="C3:C4"/>
    <mergeCell ref="D3:D4"/>
    <mergeCell ref="E3:E4"/>
    <mergeCell ref="F3:F4"/>
  </mergeCells>
  <phoneticPr fontId="2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225"/>
  <sheetViews>
    <sheetView topLeftCell="C1" workbookViewId="0">
      <pane ySplit="3" topLeftCell="A94" activePane="bottomLeft" state="frozen"/>
      <selection pane="bottomLeft" activeCell="D17" sqref="D17"/>
    </sheetView>
  </sheetViews>
  <sheetFormatPr defaultColWidth="8.21875" defaultRowHeight="11.4" outlineLevelRow="2" x14ac:dyDescent="0.25"/>
  <cols>
    <col min="1" max="1" width="15.5546875" style="7" customWidth="1"/>
    <col min="2" max="2" width="5" style="8" customWidth="1"/>
    <col min="3" max="3" width="24.21875" style="9" customWidth="1"/>
    <col min="4" max="4" width="49.33203125" style="9" customWidth="1"/>
    <col min="5" max="5" width="4.88671875" style="10" customWidth="1"/>
    <col min="6" max="6" width="8.109375" style="10" customWidth="1"/>
    <col min="7" max="8" width="9.88671875" style="11" customWidth="1"/>
    <col min="9" max="9" width="8.77734375" style="11" customWidth="1"/>
    <col min="10" max="10" width="11.21875" style="11" customWidth="1"/>
    <col min="11" max="11" width="10.6640625" style="11" customWidth="1"/>
    <col min="12" max="12" width="11.109375" style="11" customWidth="1"/>
    <col min="13" max="13" width="8.21875" style="7"/>
    <col min="14" max="14" width="12.6640625" style="7" customWidth="1"/>
    <col min="15" max="16" width="8.21875" style="7"/>
    <col min="17" max="17" width="8.21875" style="7" customWidth="1"/>
    <col min="18" max="256" width="8.21875" style="7"/>
    <col min="257" max="257" width="15.5546875" style="7" customWidth="1"/>
    <col min="258" max="258" width="5" style="7" customWidth="1"/>
    <col min="259" max="259" width="16.88671875" style="7" customWidth="1"/>
    <col min="260" max="260" width="45" style="7" customWidth="1"/>
    <col min="261" max="261" width="4.88671875" style="7" customWidth="1"/>
    <col min="262" max="262" width="8.109375" style="7" customWidth="1"/>
    <col min="263" max="264" width="9.88671875" style="7" customWidth="1"/>
    <col min="265" max="265" width="7.6640625" style="7" customWidth="1"/>
    <col min="266" max="266" width="11.21875" style="7" customWidth="1"/>
    <col min="267" max="267" width="9.77734375" style="7" customWidth="1"/>
    <col min="268" max="268" width="11.109375" style="7" customWidth="1"/>
    <col min="269" max="269" width="8.21875" style="7"/>
    <col min="270" max="270" width="12.6640625" style="7" customWidth="1"/>
    <col min="271" max="512" width="8.21875" style="7"/>
    <col min="513" max="513" width="15.5546875" style="7" customWidth="1"/>
    <col min="514" max="514" width="5" style="7" customWidth="1"/>
    <col min="515" max="515" width="16.88671875" style="7" customWidth="1"/>
    <col min="516" max="516" width="45" style="7" customWidth="1"/>
    <col min="517" max="517" width="4.88671875" style="7" customWidth="1"/>
    <col min="518" max="518" width="8.109375" style="7" customWidth="1"/>
    <col min="519" max="520" width="9.88671875" style="7" customWidth="1"/>
    <col min="521" max="521" width="7.6640625" style="7" customWidth="1"/>
    <col min="522" max="522" width="11.21875" style="7" customWidth="1"/>
    <col min="523" max="523" width="9.77734375" style="7" customWidth="1"/>
    <col min="524" max="524" width="11.109375" style="7" customWidth="1"/>
    <col min="525" max="525" width="8.21875" style="7"/>
    <col min="526" max="526" width="12.6640625" style="7" customWidth="1"/>
    <col min="527" max="768" width="8.21875" style="7"/>
    <col min="769" max="769" width="15.5546875" style="7" customWidth="1"/>
    <col min="770" max="770" width="5" style="7" customWidth="1"/>
    <col min="771" max="771" width="16.88671875" style="7" customWidth="1"/>
    <col min="772" max="772" width="45" style="7" customWidth="1"/>
    <col min="773" max="773" width="4.88671875" style="7" customWidth="1"/>
    <col min="774" max="774" width="8.109375" style="7" customWidth="1"/>
    <col min="775" max="776" width="9.88671875" style="7" customWidth="1"/>
    <col min="777" max="777" width="7.6640625" style="7" customWidth="1"/>
    <col min="778" max="778" width="11.21875" style="7" customWidth="1"/>
    <col min="779" max="779" width="9.77734375" style="7" customWidth="1"/>
    <col min="780" max="780" width="11.109375" style="7" customWidth="1"/>
    <col min="781" max="781" width="8.21875" style="7"/>
    <col min="782" max="782" width="12.6640625" style="7" customWidth="1"/>
    <col min="783" max="1024" width="8.21875" style="7"/>
    <col min="1025" max="1025" width="15.5546875" style="7" customWidth="1"/>
    <col min="1026" max="1026" width="5" style="7" customWidth="1"/>
    <col min="1027" max="1027" width="16.88671875" style="7" customWidth="1"/>
    <col min="1028" max="1028" width="45" style="7" customWidth="1"/>
    <col min="1029" max="1029" width="4.88671875" style="7" customWidth="1"/>
    <col min="1030" max="1030" width="8.109375" style="7" customWidth="1"/>
    <col min="1031" max="1032" width="9.88671875" style="7" customWidth="1"/>
    <col min="1033" max="1033" width="7.6640625" style="7" customWidth="1"/>
    <col min="1034" max="1034" width="11.21875" style="7" customWidth="1"/>
    <col min="1035" max="1035" width="9.77734375" style="7" customWidth="1"/>
    <col min="1036" max="1036" width="11.109375" style="7" customWidth="1"/>
    <col min="1037" max="1037" width="8.21875" style="7"/>
    <col min="1038" max="1038" width="12.6640625" style="7" customWidth="1"/>
    <col min="1039" max="1280" width="8.21875" style="7"/>
    <col min="1281" max="1281" width="15.5546875" style="7" customWidth="1"/>
    <col min="1282" max="1282" width="5" style="7" customWidth="1"/>
    <col min="1283" max="1283" width="16.88671875" style="7" customWidth="1"/>
    <col min="1284" max="1284" width="45" style="7" customWidth="1"/>
    <col min="1285" max="1285" width="4.88671875" style="7" customWidth="1"/>
    <col min="1286" max="1286" width="8.109375" style="7" customWidth="1"/>
    <col min="1287" max="1288" width="9.88671875" style="7" customWidth="1"/>
    <col min="1289" max="1289" width="7.6640625" style="7" customWidth="1"/>
    <col min="1290" max="1290" width="11.21875" style="7" customWidth="1"/>
    <col min="1291" max="1291" width="9.77734375" style="7" customWidth="1"/>
    <col min="1292" max="1292" width="11.109375" style="7" customWidth="1"/>
    <col min="1293" max="1293" width="8.21875" style="7"/>
    <col min="1294" max="1294" width="12.6640625" style="7" customWidth="1"/>
    <col min="1295" max="1536" width="8.21875" style="7"/>
    <col min="1537" max="1537" width="15.5546875" style="7" customWidth="1"/>
    <col min="1538" max="1538" width="5" style="7" customWidth="1"/>
    <col min="1539" max="1539" width="16.88671875" style="7" customWidth="1"/>
    <col min="1540" max="1540" width="45" style="7" customWidth="1"/>
    <col min="1541" max="1541" width="4.88671875" style="7" customWidth="1"/>
    <col min="1542" max="1542" width="8.109375" style="7" customWidth="1"/>
    <col min="1543" max="1544" width="9.88671875" style="7" customWidth="1"/>
    <col min="1545" max="1545" width="7.6640625" style="7" customWidth="1"/>
    <col min="1546" max="1546" width="11.21875" style="7" customWidth="1"/>
    <col min="1547" max="1547" width="9.77734375" style="7" customWidth="1"/>
    <col min="1548" max="1548" width="11.109375" style="7" customWidth="1"/>
    <col min="1549" max="1549" width="8.21875" style="7"/>
    <col min="1550" max="1550" width="12.6640625" style="7" customWidth="1"/>
    <col min="1551" max="1792" width="8.21875" style="7"/>
    <col min="1793" max="1793" width="15.5546875" style="7" customWidth="1"/>
    <col min="1794" max="1794" width="5" style="7" customWidth="1"/>
    <col min="1795" max="1795" width="16.88671875" style="7" customWidth="1"/>
    <col min="1796" max="1796" width="45" style="7" customWidth="1"/>
    <col min="1797" max="1797" width="4.88671875" style="7" customWidth="1"/>
    <col min="1798" max="1798" width="8.109375" style="7" customWidth="1"/>
    <col min="1799" max="1800" width="9.88671875" style="7" customWidth="1"/>
    <col min="1801" max="1801" width="7.6640625" style="7" customWidth="1"/>
    <col min="1802" max="1802" width="11.21875" style="7" customWidth="1"/>
    <col min="1803" max="1803" width="9.77734375" style="7" customWidth="1"/>
    <col min="1804" max="1804" width="11.109375" style="7" customWidth="1"/>
    <col min="1805" max="1805" width="8.21875" style="7"/>
    <col min="1806" max="1806" width="12.6640625" style="7" customWidth="1"/>
    <col min="1807" max="2048" width="8.21875" style="7"/>
    <col min="2049" max="2049" width="15.5546875" style="7" customWidth="1"/>
    <col min="2050" max="2050" width="5" style="7" customWidth="1"/>
    <col min="2051" max="2051" width="16.88671875" style="7" customWidth="1"/>
    <col min="2052" max="2052" width="45" style="7" customWidth="1"/>
    <col min="2053" max="2053" width="4.88671875" style="7" customWidth="1"/>
    <col min="2054" max="2054" width="8.109375" style="7" customWidth="1"/>
    <col min="2055" max="2056" width="9.88671875" style="7" customWidth="1"/>
    <col min="2057" max="2057" width="7.6640625" style="7" customWidth="1"/>
    <col min="2058" max="2058" width="11.21875" style="7" customWidth="1"/>
    <col min="2059" max="2059" width="9.77734375" style="7" customWidth="1"/>
    <col min="2060" max="2060" width="11.109375" style="7" customWidth="1"/>
    <col min="2061" max="2061" width="8.21875" style="7"/>
    <col min="2062" max="2062" width="12.6640625" style="7" customWidth="1"/>
    <col min="2063" max="2304" width="8.21875" style="7"/>
    <col min="2305" max="2305" width="15.5546875" style="7" customWidth="1"/>
    <col min="2306" max="2306" width="5" style="7" customWidth="1"/>
    <col min="2307" max="2307" width="16.88671875" style="7" customWidth="1"/>
    <col min="2308" max="2308" width="45" style="7" customWidth="1"/>
    <col min="2309" max="2309" width="4.88671875" style="7" customWidth="1"/>
    <col min="2310" max="2310" width="8.109375" style="7" customWidth="1"/>
    <col min="2311" max="2312" width="9.88671875" style="7" customWidth="1"/>
    <col min="2313" max="2313" width="7.6640625" style="7" customWidth="1"/>
    <col min="2314" max="2314" width="11.21875" style="7" customWidth="1"/>
    <col min="2315" max="2315" width="9.77734375" style="7" customWidth="1"/>
    <col min="2316" max="2316" width="11.109375" style="7" customWidth="1"/>
    <col min="2317" max="2317" width="8.21875" style="7"/>
    <col min="2318" max="2318" width="12.6640625" style="7" customWidth="1"/>
    <col min="2319" max="2560" width="8.21875" style="7"/>
    <col min="2561" max="2561" width="15.5546875" style="7" customWidth="1"/>
    <col min="2562" max="2562" width="5" style="7" customWidth="1"/>
    <col min="2563" max="2563" width="16.88671875" style="7" customWidth="1"/>
    <col min="2564" max="2564" width="45" style="7" customWidth="1"/>
    <col min="2565" max="2565" width="4.88671875" style="7" customWidth="1"/>
    <col min="2566" max="2566" width="8.109375" style="7" customWidth="1"/>
    <col min="2567" max="2568" width="9.88671875" style="7" customWidth="1"/>
    <col min="2569" max="2569" width="7.6640625" style="7" customWidth="1"/>
    <col min="2570" max="2570" width="11.21875" style="7" customWidth="1"/>
    <col min="2571" max="2571" width="9.77734375" style="7" customWidth="1"/>
    <col min="2572" max="2572" width="11.109375" style="7" customWidth="1"/>
    <col min="2573" max="2573" width="8.21875" style="7"/>
    <col min="2574" max="2574" width="12.6640625" style="7" customWidth="1"/>
    <col min="2575" max="2816" width="8.21875" style="7"/>
    <col min="2817" max="2817" width="15.5546875" style="7" customWidth="1"/>
    <col min="2818" max="2818" width="5" style="7" customWidth="1"/>
    <col min="2819" max="2819" width="16.88671875" style="7" customWidth="1"/>
    <col min="2820" max="2820" width="45" style="7" customWidth="1"/>
    <col min="2821" max="2821" width="4.88671875" style="7" customWidth="1"/>
    <col min="2822" max="2822" width="8.109375" style="7" customWidth="1"/>
    <col min="2823" max="2824" width="9.88671875" style="7" customWidth="1"/>
    <col min="2825" max="2825" width="7.6640625" style="7" customWidth="1"/>
    <col min="2826" max="2826" width="11.21875" style="7" customWidth="1"/>
    <col min="2827" max="2827" width="9.77734375" style="7" customWidth="1"/>
    <col min="2828" max="2828" width="11.109375" style="7" customWidth="1"/>
    <col min="2829" max="2829" width="8.21875" style="7"/>
    <col min="2830" max="2830" width="12.6640625" style="7" customWidth="1"/>
    <col min="2831" max="3072" width="8.21875" style="7"/>
    <col min="3073" max="3073" width="15.5546875" style="7" customWidth="1"/>
    <col min="3074" max="3074" width="5" style="7" customWidth="1"/>
    <col min="3075" max="3075" width="16.88671875" style="7" customWidth="1"/>
    <col min="3076" max="3076" width="45" style="7" customWidth="1"/>
    <col min="3077" max="3077" width="4.88671875" style="7" customWidth="1"/>
    <col min="3078" max="3078" width="8.109375" style="7" customWidth="1"/>
    <col min="3079" max="3080" width="9.88671875" style="7" customWidth="1"/>
    <col min="3081" max="3081" width="7.6640625" style="7" customWidth="1"/>
    <col min="3082" max="3082" width="11.21875" style="7" customWidth="1"/>
    <col min="3083" max="3083" width="9.77734375" style="7" customWidth="1"/>
    <col min="3084" max="3084" width="11.109375" style="7" customWidth="1"/>
    <col min="3085" max="3085" width="8.21875" style="7"/>
    <col min="3086" max="3086" width="12.6640625" style="7" customWidth="1"/>
    <col min="3087" max="3328" width="8.21875" style="7"/>
    <col min="3329" max="3329" width="15.5546875" style="7" customWidth="1"/>
    <col min="3330" max="3330" width="5" style="7" customWidth="1"/>
    <col min="3331" max="3331" width="16.88671875" style="7" customWidth="1"/>
    <col min="3332" max="3332" width="45" style="7" customWidth="1"/>
    <col min="3333" max="3333" width="4.88671875" style="7" customWidth="1"/>
    <col min="3334" max="3334" width="8.109375" style="7" customWidth="1"/>
    <col min="3335" max="3336" width="9.88671875" style="7" customWidth="1"/>
    <col min="3337" max="3337" width="7.6640625" style="7" customWidth="1"/>
    <col min="3338" max="3338" width="11.21875" style="7" customWidth="1"/>
    <col min="3339" max="3339" width="9.77734375" style="7" customWidth="1"/>
    <col min="3340" max="3340" width="11.109375" style="7" customWidth="1"/>
    <col min="3341" max="3341" width="8.21875" style="7"/>
    <col min="3342" max="3342" width="12.6640625" style="7" customWidth="1"/>
    <col min="3343" max="3584" width="8.21875" style="7"/>
    <col min="3585" max="3585" width="15.5546875" style="7" customWidth="1"/>
    <col min="3586" max="3586" width="5" style="7" customWidth="1"/>
    <col min="3587" max="3587" width="16.88671875" style="7" customWidth="1"/>
    <col min="3588" max="3588" width="45" style="7" customWidth="1"/>
    <col min="3589" max="3589" width="4.88671875" style="7" customWidth="1"/>
    <col min="3590" max="3590" width="8.109375" style="7" customWidth="1"/>
    <col min="3591" max="3592" width="9.88671875" style="7" customWidth="1"/>
    <col min="3593" max="3593" width="7.6640625" style="7" customWidth="1"/>
    <col min="3594" max="3594" width="11.21875" style="7" customWidth="1"/>
    <col min="3595" max="3595" width="9.77734375" style="7" customWidth="1"/>
    <col min="3596" max="3596" width="11.109375" style="7" customWidth="1"/>
    <col min="3597" max="3597" width="8.21875" style="7"/>
    <col min="3598" max="3598" width="12.6640625" style="7" customWidth="1"/>
    <col min="3599" max="3840" width="8.21875" style="7"/>
    <col min="3841" max="3841" width="15.5546875" style="7" customWidth="1"/>
    <col min="3842" max="3842" width="5" style="7" customWidth="1"/>
    <col min="3843" max="3843" width="16.88671875" style="7" customWidth="1"/>
    <col min="3844" max="3844" width="45" style="7" customWidth="1"/>
    <col min="3845" max="3845" width="4.88671875" style="7" customWidth="1"/>
    <col min="3846" max="3846" width="8.109375" style="7" customWidth="1"/>
    <col min="3847" max="3848" width="9.88671875" style="7" customWidth="1"/>
    <col min="3849" max="3849" width="7.6640625" style="7" customWidth="1"/>
    <col min="3850" max="3850" width="11.21875" style="7" customWidth="1"/>
    <col min="3851" max="3851" width="9.77734375" style="7" customWidth="1"/>
    <col min="3852" max="3852" width="11.109375" style="7" customWidth="1"/>
    <col min="3853" max="3853" width="8.21875" style="7"/>
    <col min="3854" max="3854" width="12.6640625" style="7" customWidth="1"/>
    <col min="3855" max="4096" width="8.21875" style="7"/>
    <col min="4097" max="4097" width="15.5546875" style="7" customWidth="1"/>
    <col min="4098" max="4098" width="5" style="7" customWidth="1"/>
    <col min="4099" max="4099" width="16.88671875" style="7" customWidth="1"/>
    <col min="4100" max="4100" width="45" style="7" customWidth="1"/>
    <col min="4101" max="4101" width="4.88671875" style="7" customWidth="1"/>
    <col min="4102" max="4102" width="8.109375" style="7" customWidth="1"/>
    <col min="4103" max="4104" width="9.88671875" style="7" customWidth="1"/>
    <col min="4105" max="4105" width="7.6640625" style="7" customWidth="1"/>
    <col min="4106" max="4106" width="11.21875" style="7" customWidth="1"/>
    <col min="4107" max="4107" width="9.77734375" style="7" customWidth="1"/>
    <col min="4108" max="4108" width="11.109375" style="7" customWidth="1"/>
    <col min="4109" max="4109" width="8.21875" style="7"/>
    <col min="4110" max="4110" width="12.6640625" style="7" customWidth="1"/>
    <col min="4111" max="4352" width="8.21875" style="7"/>
    <col min="4353" max="4353" width="15.5546875" style="7" customWidth="1"/>
    <col min="4354" max="4354" width="5" style="7" customWidth="1"/>
    <col min="4355" max="4355" width="16.88671875" style="7" customWidth="1"/>
    <col min="4356" max="4356" width="45" style="7" customWidth="1"/>
    <col min="4357" max="4357" width="4.88671875" style="7" customWidth="1"/>
    <col min="4358" max="4358" width="8.109375" style="7" customWidth="1"/>
    <col min="4359" max="4360" width="9.88671875" style="7" customWidth="1"/>
    <col min="4361" max="4361" width="7.6640625" style="7" customWidth="1"/>
    <col min="4362" max="4362" width="11.21875" style="7" customWidth="1"/>
    <col min="4363" max="4363" width="9.77734375" style="7" customWidth="1"/>
    <col min="4364" max="4364" width="11.109375" style="7" customWidth="1"/>
    <col min="4365" max="4365" width="8.21875" style="7"/>
    <col min="4366" max="4366" width="12.6640625" style="7" customWidth="1"/>
    <col min="4367" max="4608" width="8.21875" style="7"/>
    <col min="4609" max="4609" width="15.5546875" style="7" customWidth="1"/>
    <col min="4610" max="4610" width="5" style="7" customWidth="1"/>
    <col min="4611" max="4611" width="16.88671875" style="7" customWidth="1"/>
    <col min="4612" max="4612" width="45" style="7" customWidth="1"/>
    <col min="4613" max="4613" width="4.88671875" style="7" customWidth="1"/>
    <col min="4614" max="4614" width="8.109375" style="7" customWidth="1"/>
    <col min="4615" max="4616" width="9.88671875" style="7" customWidth="1"/>
    <col min="4617" max="4617" width="7.6640625" style="7" customWidth="1"/>
    <col min="4618" max="4618" width="11.21875" style="7" customWidth="1"/>
    <col min="4619" max="4619" width="9.77734375" style="7" customWidth="1"/>
    <col min="4620" max="4620" width="11.109375" style="7" customWidth="1"/>
    <col min="4621" max="4621" width="8.21875" style="7"/>
    <col min="4622" max="4622" width="12.6640625" style="7" customWidth="1"/>
    <col min="4623" max="4864" width="8.21875" style="7"/>
    <col min="4865" max="4865" width="15.5546875" style="7" customWidth="1"/>
    <col min="4866" max="4866" width="5" style="7" customWidth="1"/>
    <col min="4867" max="4867" width="16.88671875" style="7" customWidth="1"/>
    <col min="4868" max="4868" width="45" style="7" customWidth="1"/>
    <col min="4869" max="4869" width="4.88671875" style="7" customWidth="1"/>
    <col min="4870" max="4870" width="8.109375" style="7" customWidth="1"/>
    <col min="4871" max="4872" width="9.88671875" style="7" customWidth="1"/>
    <col min="4873" max="4873" width="7.6640625" style="7" customWidth="1"/>
    <col min="4874" max="4874" width="11.21875" style="7" customWidth="1"/>
    <col min="4875" max="4875" width="9.77734375" style="7" customWidth="1"/>
    <col min="4876" max="4876" width="11.109375" style="7" customWidth="1"/>
    <col min="4877" max="4877" width="8.21875" style="7"/>
    <col min="4878" max="4878" width="12.6640625" style="7" customWidth="1"/>
    <col min="4879" max="5120" width="8.21875" style="7"/>
    <col min="5121" max="5121" width="15.5546875" style="7" customWidth="1"/>
    <col min="5122" max="5122" width="5" style="7" customWidth="1"/>
    <col min="5123" max="5123" width="16.88671875" style="7" customWidth="1"/>
    <col min="5124" max="5124" width="45" style="7" customWidth="1"/>
    <col min="5125" max="5125" width="4.88671875" style="7" customWidth="1"/>
    <col min="5126" max="5126" width="8.109375" style="7" customWidth="1"/>
    <col min="5127" max="5128" width="9.88671875" style="7" customWidth="1"/>
    <col min="5129" max="5129" width="7.6640625" style="7" customWidth="1"/>
    <col min="5130" max="5130" width="11.21875" style="7" customWidth="1"/>
    <col min="5131" max="5131" width="9.77734375" style="7" customWidth="1"/>
    <col min="5132" max="5132" width="11.109375" style="7" customWidth="1"/>
    <col min="5133" max="5133" width="8.21875" style="7"/>
    <col min="5134" max="5134" width="12.6640625" style="7" customWidth="1"/>
    <col min="5135" max="5376" width="8.21875" style="7"/>
    <col min="5377" max="5377" width="15.5546875" style="7" customWidth="1"/>
    <col min="5378" max="5378" width="5" style="7" customWidth="1"/>
    <col min="5379" max="5379" width="16.88671875" style="7" customWidth="1"/>
    <col min="5380" max="5380" width="45" style="7" customWidth="1"/>
    <col min="5381" max="5381" width="4.88671875" style="7" customWidth="1"/>
    <col min="5382" max="5382" width="8.109375" style="7" customWidth="1"/>
    <col min="5383" max="5384" width="9.88671875" style="7" customWidth="1"/>
    <col min="5385" max="5385" width="7.6640625" style="7" customWidth="1"/>
    <col min="5386" max="5386" width="11.21875" style="7" customWidth="1"/>
    <col min="5387" max="5387" width="9.77734375" style="7" customWidth="1"/>
    <col min="5388" max="5388" width="11.109375" style="7" customWidth="1"/>
    <col min="5389" max="5389" width="8.21875" style="7"/>
    <col min="5390" max="5390" width="12.6640625" style="7" customWidth="1"/>
    <col min="5391" max="5632" width="8.21875" style="7"/>
    <col min="5633" max="5633" width="15.5546875" style="7" customWidth="1"/>
    <col min="5634" max="5634" width="5" style="7" customWidth="1"/>
    <col min="5635" max="5635" width="16.88671875" style="7" customWidth="1"/>
    <col min="5636" max="5636" width="45" style="7" customWidth="1"/>
    <col min="5637" max="5637" width="4.88671875" style="7" customWidth="1"/>
    <col min="5638" max="5638" width="8.109375" style="7" customWidth="1"/>
    <col min="5639" max="5640" width="9.88671875" style="7" customWidth="1"/>
    <col min="5641" max="5641" width="7.6640625" style="7" customWidth="1"/>
    <col min="5642" max="5642" width="11.21875" style="7" customWidth="1"/>
    <col min="5643" max="5643" width="9.77734375" style="7" customWidth="1"/>
    <col min="5644" max="5644" width="11.109375" style="7" customWidth="1"/>
    <col min="5645" max="5645" width="8.21875" style="7"/>
    <col min="5646" max="5646" width="12.6640625" style="7" customWidth="1"/>
    <col min="5647" max="5888" width="8.21875" style="7"/>
    <col min="5889" max="5889" width="15.5546875" style="7" customWidth="1"/>
    <col min="5890" max="5890" width="5" style="7" customWidth="1"/>
    <col min="5891" max="5891" width="16.88671875" style="7" customWidth="1"/>
    <col min="5892" max="5892" width="45" style="7" customWidth="1"/>
    <col min="5893" max="5893" width="4.88671875" style="7" customWidth="1"/>
    <col min="5894" max="5894" width="8.109375" style="7" customWidth="1"/>
    <col min="5895" max="5896" width="9.88671875" style="7" customWidth="1"/>
    <col min="5897" max="5897" width="7.6640625" style="7" customWidth="1"/>
    <col min="5898" max="5898" width="11.21875" style="7" customWidth="1"/>
    <col min="5899" max="5899" width="9.77734375" style="7" customWidth="1"/>
    <col min="5900" max="5900" width="11.109375" style="7" customWidth="1"/>
    <col min="5901" max="5901" width="8.21875" style="7"/>
    <col min="5902" max="5902" width="12.6640625" style="7" customWidth="1"/>
    <col min="5903" max="6144" width="8.21875" style="7"/>
    <col min="6145" max="6145" width="15.5546875" style="7" customWidth="1"/>
    <col min="6146" max="6146" width="5" style="7" customWidth="1"/>
    <col min="6147" max="6147" width="16.88671875" style="7" customWidth="1"/>
    <col min="6148" max="6148" width="45" style="7" customWidth="1"/>
    <col min="6149" max="6149" width="4.88671875" style="7" customWidth="1"/>
    <col min="6150" max="6150" width="8.109375" style="7" customWidth="1"/>
    <col min="6151" max="6152" width="9.88671875" style="7" customWidth="1"/>
    <col min="6153" max="6153" width="7.6640625" style="7" customWidth="1"/>
    <col min="6154" max="6154" width="11.21875" style="7" customWidth="1"/>
    <col min="6155" max="6155" width="9.77734375" style="7" customWidth="1"/>
    <col min="6156" max="6156" width="11.109375" style="7" customWidth="1"/>
    <col min="6157" max="6157" width="8.21875" style="7"/>
    <col min="6158" max="6158" width="12.6640625" style="7" customWidth="1"/>
    <col min="6159" max="6400" width="8.21875" style="7"/>
    <col min="6401" max="6401" width="15.5546875" style="7" customWidth="1"/>
    <col min="6402" max="6402" width="5" style="7" customWidth="1"/>
    <col min="6403" max="6403" width="16.88671875" style="7" customWidth="1"/>
    <col min="6404" max="6404" width="45" style="7" customWidth="1"/>
    <col min="6405" max="6405" width="4.88671875" style="7" customWidth="1"/>
    <col min="6406" max="6406" width="8.109375" style="7" customWidth="1"/>
    <col min="6407" max="6408" width="9.88671875" style="7" customWidth="1"/>
    <col min="6409" max="6409" width="7.6640625" style="7" customWidth="1"/>
    <col min="6410" max="6410" width="11.21875" style="7" customWidth="1"/>
    <col min="6411" max="6411" width="9.77734375" style="7" customWidth="1"/>
    <col min="6412" max="6412" width="11.109375" style="7" customWidth="1"/>
    <col min="6413" max="6413" width="8.21875" style="7"/>
    <col min="6414" max="6414" width="12.6640625" style="7" customWidth="1"/>
    <col min="6415" max="6656" width="8.21875" style="7"/>
    <col min="6657" max="6657" width="15.5546875" style="7" customWidth="1"/>
    <col min="6658" max="6658" width="5" style="7" customWidth="1"/>
    <col min="6659" max="6659" width="16.88671875" style="7" customWidth="1"/>
    <col min="6660" max="6660" width="45" style="7" customWidth="1"/>
    <col min="6661" max="6661" width="4.88671875" style="7" customWidth="1"/>
    <col min="6662" max="6662" width="8.109375" style="7" customWidth="1"/>
    <col min="6663" max="6664" width="9.88671875" style="7" customWidth="1"/>
    <col min="6665" max="6665" width="7.6640625" style="7" customWidth="1"/>
    <col min="6666" max="6666" width="11.21875" style="7" customWidth="1"/>
    <col min="6667" max="6667" width="9.77734375" style="7" customWidth="1"/>
    <col min="6668" max="6668" width="11.109375" style="7" customWidth="1"/>
    <col min="6669" max="6669" width="8.21875" style="7"/>
    <col min="6670" max="6670" width="12.6640625" style="7" customWidth="1"/>
    <col min="6671" max="6912" width="8.21875" style="7"/>
    <col min="6913" max="6913" width="15.5546875" style="7" customWidth="1"/>
    <col min="6914" max="6914" width="5" style="7" customWidth="1"/>
    <col min="6915" max="6915" width="16.88671875" style="7" customWidth="1"/>
    <col min="6916" max="6916" width="45" style="7" customWidth="1"/>
    <col min="6917" max="6917" width="4.88671875" style="7" customWidth="1"/>
    <col min="6918" max="6918" width="8.109375" style="7" customWidth="1"/>
    <col min="6919" max="6920" width="9.88671875" style="7" customWidth="1"/>
    <col min="6921" max="6921" width="7.6640625" style="7" customWidth="1"/>
    <col min="6922" max="6922" width="11.21875" style="7" customWidth="1"/>
    <col min="6923" max="6923" width="9.77734375" style="7" customWidth="1"/>
    <col min="6924" max="6924" width="11.109375" style="7" customWidth="1"/>
    <col min="6925" max="6925" width="8.21875" style="7"/>
    <col min="6926" max="6926" width="12.6640625" style="7" customWidth="1"/>
    <col min="6927" max="7168" width="8.21875" style="7"/>
    <col min="7169" max="7169" width="15.5546875" style="7" customWidth="1"/>
    <col min="7170" max="7170" width="5" style="7" customWidth="1"/>
    <col min="7171" max="7171" width="16.88671875" style="7" customWidth="1"/>
    <col min="7172" max="7172" width="45" style="7" customWidth="1"/>
    <col min="7173" max="7173" width="4.88671875" style="7" customWidth="1"/>
    <col min="7174" max="7174" width="8.109375" style="7" customWidth="1"/>
    <col min="7175" max="7176" width="9.88671875" style="7" customWidth="1"/>
    <col min="7177" max="7177" width="7.6640625" style="7" customWidth="1"/>
    <col min="7178" max="7178" width="11.21875" style="7" customWidth="1"/>
    <col min="7179" max="7179" width="9.77734375" style="7" customWidth="1"/>
    <col min="7180" max="7180" width="11.109375" style="7" customWidth="1"/>
    <col min="7181" max="7181" width="8.21875" style="7"/>
    <col min="7182" max="7182" width="12.6640625" style="7" customWidth="1"/>
    <col min="7183" max="7424" width="8.21875" style="7"/>
    <col min="7425" max="7425" width="15.5546875" style="7" customWidth="1"/>
    <col min="7426" max="7426" width="5" style="7" customWidth="1"/>
    <col min="7427" max="7427" width="16.88671875" style="7" customWidth="1"/>
    <col min="7428" max="7428" width="45" style="7" customWidth="1"/>
    <col min="7429" max="7429" width="4.88671875" style="7" customWidth="1"/>
    <col min="7430" max="7430" width="8.109375" style="7" customWidth="1"/>
    <col min="7431" max="7432" width="9.88671875" style="7" customWidth="1"/>
    <col min="7433" max="7433" width="7.6640625" style="7" customWidth="1"/>
    <col min="7434" max="7434" width="11.21875" style="7" customWidth="1"/>
    <col min="7435" max="7435" width="9.77734375" style="7" customWidth="1"/>
    <col min="7436" max="7436" width="11.109375" style="7" customWidth="1"/>
    <col min="7437" max="7437" width="8.21875" style="7"/>
    <col min="7438" max="7438" width="12.6640625" style="7" customWidth="1"/>
    <col min="7439" max="7680" width="8.21875" style="7"/>
    <col min="7681" max="7681" width="15.5546875" style="7" customWidth="1"/>
    <col min="7682" max="7682" width="5" style="7" customWidth="1"/>
    <col min="7683" max="7683" width="16.88671875" style="7" customWidth="1"/>
    <col min="7684" max="7684" width="45" style="7" customWidth="1"/>
    <col min="7685" max="7685" width="4.88671875" style="7" customWidth="1"/>
    <col min="7686" max="7686" width="8.109375" style="7" customWidth="1"/>
    <col min="7687" max="7688" width="9.88671875" style="7" customWidth="1"/>
    <col min="7689" max="7689" width="7.6640625" style="7" customWidth="1"/>
    <col min="7690" max="7690" width="11.21875" style="7" customWidth="1"/>
    <col min="7691" max="7691" width="9.77734375" style="7" customWidth="1"/>
    <col min="7692" max="7692" width="11.109375" style="7" customWidth="1"/>
    <col min="7693" max="7693" width="8.21875" style="7"/>
    <col min="7694" max="7694" width="12.6640625" style="7" customWidth="1"/>
    <col min="7695" max="7936" width="8.21875" style="7"/>
    <col min="7937" max="7937" width="15.5546875" style="7" customWidth="1"/>
    <col min="7938" max="7938" width="5" style="7" customWidth="1"/>
    <col min="7939" max="7939" width="16.88671875" style="7" customWidth="1"/>
    <col min="7940" max="7940" width="45" style="7" customWidth="1"/>
    <col min="7941" max="7941" width="4.88671875" style="7" customWidth="1"/>
    <col min="7942" max="7942" width="8.109375" style="7" customWidth="1"/>
    <col min="7943" max="7944" width="9.88671875" style="7" customWidth="1"/>
    <col min="7945" max="7945" width="7.6640625" style="7" customWidth="1"/>
    <col min="7946" max="7946" width="11.21875" style="7" customWidth="1"/>
    <col min="7947" max="7947" width="9.77734375" style="7" customWidth="1"/>
    <col min="7948" max="7948" width="11.109375" style="7" customWidth="1"/>
    <col min="7949" max="7949" width="8.21875" style="7"/>
    <col min="7950" max="7950" width="12.6640625" style="7" customWidth="1"/>
    <col min="7951" max="8192" width="8.21875" style="7"/>
    <col min="8193" max="8193" width="15.5546875" style="7" customWidth="1"/>
    <col min="8194" max="8194" width="5" style="7" customWidth="1"/>
    <col min="8195" max="8195" width="16.88671875" style="7" customWidth="1"/>
    <col min="8196" max="8196" width="45" style="7" customWidth="1"/>
    <col min="8197" max="8197" width="4.88671875" style="7" customWidth="1"/>
    <col min="8198" max="8198" width="8.109375" style="7" customWidth="1"/>
    <col min="8199" max="8200" width="9.88671875" style="7" customWidth="1"/>
    <col min="8201" max="8201" width="7.6640625" style="7" customWidth="1"/>
    <col min="8202" max="8202" width="11.21875" style="7" customWidth="1"/>
    <col min="8203" max="8203" width="9.77734375" style="7" customWidth="1"/>
    <col min="8204" max="8204" width="11.109375" style="7" customWidth="1"/>
    <col min="8205" max="8205" width="8.21875" style="7"/>
    <col min="8206" max="8206" width="12.6640625" style="7" customWidth="1"/>
    <col min="8207" max="8448" width="8.21875" style="7"/>
    <col min="8449" max="8449" width="15.5546875" style="7" customWidth="1"/>
    <col min="8450" max="8450" width="5" style="7" customWidth="1"/>
    <col min="8451" max="8451" width="16.88671875" style="7" customWidth="1"/>
    <col min="8452" max="8452" width="45" style="7" customWidth="1"/>
    <col min="8453" max="8453" width="4.88671875" style="7" customWidth="1"/>
    <col min="8454" max="8454" width="8.109375" style="7" customWidth="1"/>
    <col min="8455" max="8456" width="9.88671875" style="7" customWidth="1"/>
    <col min="8457" max="8457" width="7.6640625" style="7" customWidth="1"/>
    <col min="8458" max="8458" width="11.21875" style="7" customWidth="1"/>
    <col min="8459" max="8459" width="9.77734375" style="7" customWidth="1"/>
    <col min="8460" max="8460" width="11.109375" style="7" customWidth="1"/>
    <col min="8461" max="8461" width="8.21875" style="7"/>
    <col min="8462" max="8462" width="12.6640625" style="7" customWidth="1"/>
    <col min="8463" max="8704" width="8.21875" style="7"/>
    <col min="8705" max="8705" width="15.5546875" style="7" customWidth="1"/>
    <col min="8706" max="8706" width="5" style="7" customWidth="1"/>
    <col min="8707" max="8707" width="16.88671875" style="7" customWidth="1"/>
    <col min="8708" max="8708" width="45" style="7" customWidth="1"/>
    <col min="8709" max="8709" width="4.88671875" style="7" customWidth="1"/>
    <col min="8710" max="8710" width="8.109375" style="7" customWidth="1"/>
    <col min="8711" max="8712" width="9.88671875" style="7" customWidth="1"/>
    <col min="8713" max="8713" width="7.6640625" style="7" customWidth="1"/>
    <col min="8714" max="8714" width="11.21875" style="7" customWidth="1"/>
    <col min="8715" max="8715" width="9.77734375" style="7" customWidth="1"/>
    <col min="8716" max="8716" width="11.109375" style="7" customWidth="1"/>
    <col min="8717" max="8717" width="8.21875" style="7"/>
    <col min="8718" max="8718" width="12.6640625" style="7" customWidth="1"/>
    <col min="8719" max="8960" width="8.21875" style="7"/>
    <col min="8961" max="8961" width="15.5546875" style="7" customWidth="1"/>
    <col min="8962" max="8962" width="5" style="7" customWidth="1"/>
    <col min="8963" max="8963" width="16.88671875" style="7" customWidth="1"/>
    <col min="8964" max="8964" width="45" style="7" customWidth="1"/>
    <col min="8965" max="8965" width="4.88671875" style="7" customWidth="1"/>
    <col min="8966" max="8966" width="8.109375" style="7" customWidth="1"/>
    <col min="8967" max="8968" width="9.88671875" style="7" customWidth="1"/>
    <col min="8969" max="8969" width="7.6640625" style="7" customWidth="1"/>
    <col min="8970" max="8970" width="11.21875" style="7" customWidth="1"/>
    <col min="8971" max="8971" width="9.77734375" style="7" customWidth="1"/>
    <col min="8972" max="8972" width="11.109375" style="7" customWidth="1"/>
    <col min="8973" max="8973" width="8.21875" style="7"/>
    <col min="8974" max="8974" width="12.6640625" style="7" customWidth="1"/>
    <col min="8975" max="9216" width="8.21875" style="7"/>
    <col min="9217" max="9217" width="15.5546875" style="7" customWidth="1"/>
    <col min="9218" max="9218" width="5" style="7" customWidth="1"/>
    <col min="9219" max="9219" width="16.88671875" style="7" customWidth="1"/>
    <col min="9220" max="9220" width="45" style="7" customWidth="1"/>
    <col min="9221" max="9221" width="4.88671875" style="7" customWidth="1"/>
    <col min="9222" max="9222" width="8.109375" style="7" customWidth="1"/>
    <col min="9223" max="9224" width="9.88671875" style="7" customWidth="1"/>
    <col min="9225" max="9225" width="7.6640625" style="7" customWidth="1"/>
    <col min="9226" max="9226" width="11.21875" style="7" customWidth="1"/>
    <col min="9227" max="9227" width="9.77734375" style="7" customWidth="1"/>
    <col min="9228" max="9228" width="11.109375" style="7" customWidth="1"/>
    <col min="9229" max="9229" width="8.21875" style="7"/>
    <col min="9230" max="9230" width="12.6640625" style="7" customWidth="1"/>
    <col min="9231" max="9472" width="8.21875" style="7"/>
    <col min="9473" max="9473" width="15.5546875" style="7" customWidth="1"/>
    <col min="9474" max="9474" width="5" style="7" customWidth="1"/>
    <col min="9475" max="9475" width="16.88671875" style="7" customWidth="1"/>
    <col min="9476" max="9476" width="45" style="7" customWidth="1"/>
    <col min="9477" max="9477" width="4.88671875" style="7" customWidth="1"/>
    <col min="9478" max="9478" width="8.109375" style="7" customWidth="1"/>
    <col min="9479" max="9480" width="9.88671875" style="7" customWidth="1"/>
    <col min="9481" max="9481" width="7.6640625" style="7" customWidth="1"/>
    <col min="9482" max="9482" width="11.21875" style="7" customWidth="1"/>
    <col min="9483" max="9483" width="9.77734375" style="7" customWidth="1"/>
    <col min="9484" max="9484" width="11.109375" style="7" customWidth="1"/>
    <col min="9485" max="9485" width="8.21875" style="7"/>
    <col min="9486" max="9486" width="12.6640625" style="7" customWidth="1"/>
    <col min="9487" max="9728" width="8.21875" style="7"/>
    <col min="9729" max="9729" width="15.5546875" style="7" customWidth="1"/>
    <col min="9730" max="9730" width="5" style="7" customWidth="1"/>
    <col min="9731" max="9731" width="16.88671875" style="7" customWidth="1"/>
    <col min="9732" max="9732" width="45" style="7" customWidth="1"/>
    <col min="9733" max="9733" width="4.88671875" style="7" customWidth="1"/>
    <col min="9734" max="9734" width="8.109375" style="7" customWidth="1"/>
    <col min="9735" max="9736" width="9.88671875" style="7" customWidth="1"/>
    <col min="9737" max="9737" width="7.6640625" style="7" customWidth="1"/>
    <col min="9738" max="9738" width="11.21875" style="7" customWidth="1"/>
    <col min="9739" max="9739" width="9.77734375" style="7" customWidth="1"/>
    <col min="9740" max="9740" width="11.109375" style="7" customWidth="1"/>
    <col min="9741" max="9741" width="8.21875" style="7"/>
    <col min="9742" max="9742" width="12.6640625" style="7" customWidth="1"/>
    <col min="9743" max="9984" width="8.21875" style="7"/>
    <col min="9985" max="9985" width="15.5546875" style="7" customWidth="1"/>
    <col min="9986" max="9986" width="5" style="7" customWidth="1"/>
    <col min="9987" max="9987" width="16.88671875" style="7" customWidth="1"/>
    <col min="9988" max="9988" width="45" style="7" customWidth="1"/>
    <col min="9989" max="9989" width="4.88671875" style="7" customWidth="1"/>
    <col min="9990" max="9990" width="8.109375" style="7" customWidth="1"/>
    <col min="9991" max="9992" width="9.88671875" style="7" customWidth="1"/>
    <col min="9993" max="9993" width="7.6640625" style="7" customWidth="1"/>
    <col min="9994" max="9994" width="11.21875" style="7" customWidth="1"/>
    <col min="9995" max="9995" width="9.77734375" style="7" customWidth="1"/>
    <col min="9996" max="9996" width="11.109375" style="7" customWidth="1"/>
    <col min="9997" max="9997" width="8.21875" style="7"/>
    <col min="9998" max="9998" width="12.6640625" style="7" customWidth="1"/>
    <col min="9999" max="10240" width="8.21875" style="7"/>
    <col min="10241" max="10241" width="15.5546875" style="7" customWidth="1"/>
    <col min="10242" max="10242" width="5" style="7" customWidth="1"/>
    <col min="10243" max="10243" width="16.88671875" style="7" customWidth="1"/>
    <col min="10244" max="10244" width="45" style="7" customWidth="1"/>
    <col min="10245" max="10245" width="4.88671875" style="7" customWidth="1"/>
    <col min="10246" max="10246" width="8.109375" style="7" customWidth="1"/>
    <col min="10247" max="10248" width="9.88671875" style="7" customWidth="1"/>
    <col min="10249" max="10249" width="7.6640625" style="7" customWidth="1"/>
    <col min="10250" max="10250" width="11.21875" style="7" customWidth="1"/>
    <col min="10251" max="10251" width="9.77734375" style="7" customWidth="1"/>
    <col min="10252" max="10252" width="11.109375" style="7" customWidth="1"/>
    <col min="10253" max="10253" width="8.21875" style="7"/>
    <col min="10254" max="10254" width="12.6640625" style="7" customWidth="1"/>
    <col min="10255" max="10496" width="8.21875" style="7"/>
    <col min="10497" max="10497" width="15.5546875" style="7" customWidth="1"/>
    <col min="10498" max="10498" width="5" style="7" customWidth="1"/>
    <col min="10499" max="10499" width="16.88671875" style="7" customWidth="1"/>
    <col min="10500" max="10500" width="45" style="7" customWidth="1"/>
    <col min="10501" max="10501" width="4.88671875" style="7" customWidth="1"/>
    <col min="10502" max="10502" width="8.109375" style="7" customWidth="1"/>
    <col min="10503" max="10504" width="9.88671875" style="7" customWidth="1"/>
    <col min="10505" max="10505" width="7.6640625" style="7" customWidth="1"/>
    <col min="10506" max="10506" width="11.21875" style="7" customWidth="1"/>
    <col min="10507" max="10507" width="9.77734375" style="7" customWidth="1"/>
    <col min="10508" max="10508" width="11.109375" style="7" customWidth="1"/>
    <col min="10509" max="10509" width="8.21875" style="7"/>
    <col min="10510" max="10510" width="12.6640625" style="7" customWidth="1"/>
    <col min="10511" max="10752" width="8.21875" style="7"/>
    <col min="10753" max="10753" width="15.5546875" style="7" customWidth="1"/>
    <col min="10754" max="10754" width="5" style="7" customWidth="1"/>
    <col min="10755" max="10755" width="16.88671875" style="7" customWidth="1"/>
    <col min="10756" max="10756" width="45" style="7" customWidth="1"/>
    <col min="10757" max="10757" width="4.88671875" style="7" customWidth="1"/>
    <col min="10758" max="10758" width="8.109375" style="7" customWidth="1"/>
    <col min="10759" max="10760" width="9.88671875" style="7" customWidth="1"/>
    <col min="10761" max="10761" width="7.6640625" style="7" customWidth="1"/>
    <col min="10762" max="10762" width="11.21875" style="7" customWidth="1"/>
    <col min="10763" max="10763" width="9.77734375" style="7" customWidth="1"/>
    <col min="10764" max="10764" width="11.109375" style="7" customWidth="1"/>
    <col min="10765" max="10765" width="8.21875" style="7"/>
    <col min="10766" max="10766" width="12.6640625" style="7" customWidth="1"/>
    <col min="10767" max="11008" width="8.21875" style="7"/>
    <col min="11009" max="11009" width="15.5546875" style="7" customWidth="1"/>
    <col min="11010" max="11010" width="5" style="7" customWidth="1"/>
    <col min="11011" max="11011" width="16.88671875" style="7" customWidth="1"/>
    <col min="11012" max="11012" width="45" style="7" customWidth="1"/>
    <col min="11013" max="11013" width="4.88671875" style="7" customWidth="1"/>
    <col min="11014" max="11014" width="8.109375" style="7" customWidth="1"/>
    <col min="11015" max="11016" width="9.88671875" style="7" customWidth="1"/>
    <col min="11017" max="11017" width="7.6640625" style="7" customWidth="1"/>
    <col min="11018" max="11018" width="11.21875" style="7" customWidth="1"/>
    <col min="11019" max="11019" width="9.77734375" style="7" customWidth="1"/>
    <col min="11020" max="11020" width="11.109375" style="7" customWidth="1"/>
    <col min="11021" max="11021" width="8.21875" style="7"/>
    <col min="11022" max="11022" width="12.6640625" style="7" customWidth="1"/>
    <col min="11023" max="11264" width="8.21875" style="7"/>
    <col min="11265" max="11265" width="15.5546875" style="7" customWidth="1"/>
    <col min="11266" max="11266" width="5" style="7" customWidth="1"/>
    <col min="11267" max="11267" width="16.88671875" style="7" customWidth="1"/>
    <col min="11268" max="11268" width="45" style="7" customWidth="1"/>
    <col min="11269" max="11269" width="4.88671875" style="7" customWidth="1"/>
    <col min="11270" max="11270" width="8.109375" style="7" customWidth="1"/>
    <col min="11271" max="11272" width="9.88671875" style="7" customWidth="1"/>
    <col min="11273" max="11273" width="7.6640625" style="7" customWidth="1"/>
    <col min="11274" max="11274" width="11.21875" style="7" customWidth="1"/>
    <col min="11275" max="11275" width="9.77734375" style="7" customWidth="1"/>
    <col min="11276" max="11276" width="11.109375" style="7" customWidth="1"/>
    <col min="11277" max="11277" width="8.21875" style="7"/>
    <col min="11278" max="11278" width="12.6640625" style="7" customWidth="1"/>
    <col min="11279" max="11520" width="8.21875" style="7"/>
    <col min="11521" max="11521" width="15.5546875" style="7" customWidth="1"/>
    <col min="11522" max="11522" width="5" style="7" customWidth="1"/>
    <col min="11523" max="11523" width="16.88671875" style="7" customWidth="1"/>
    <col min="11524" max="11524" width="45" style="7" customWidth="1"/>
    <col min="11525" max="11525" width="4.88671875" style="7" customWidth="1"/>
    <col min="11526" max="11526" width="8.109375" style="7" customWidth="1"/>
    <col min="11527" max="11528" width="9.88671875" style="7" customWidth="1"/>
    <col min="11529" max="11529" width="7.6640625" style="7" customWidth="1"/>
    <col min="11530" max="11530" width="11.21875" style="7" customWidth="1"/>
    <col min="11531" max="11531" width="9.77734375" style="7" customWidth="1"/>
    <col min="11532" max="11532" width="11.109375" style="7" customWidth="1"/>
    <col min="11533" max="11533" width="8.21875" style="7"/>
    <col min="11534" max="11534" width="12.6640625" style="7" customWidth="1"/>
    <col min="11535" max="11776" width="8.21875" style="7"/>
    <col min="11777" max="11777" width="15.5546875" style="7" customWidth="1"/>
    <col min="11778" max="11778" width="5" style="7" customWidth="1"/>
    <col min="11779" max="11779" width="16.88671875" style="7" customWidth="1"/>
    <col min="11780" max="11780" width="45" style="7" customWidth="1"/>
    <col min="11781" max="11781" width="4.88671875" style="7" customWidth="1"/>
    <col min="11782" max="11782" width="8.109375" style="7" customWidth="1"/>
    <col min="11783" max="11784" width="9.88671875" style="7" customWidth="1"/>
    <col min="11785" max="11785" width="7.6640625" style="7" customWidth="1"/>
    <col min="11786" max="11786" width="11.21875" style="7" customWidth="1"/>
    <col min="11787" max="11787" width="9.77734375" style="7" customWidth="1"/>
    <col min="11788" max="11788" width="11.109375" style="7" customWidth="1"/>
    <col min="11789" max="11789" width="8.21875" style="7"/>
    <col min="11790" max="11790" width="12.6640625" style="7" customWidth="1"/>
    <col min="11791" max="12032" width="8.21875" style="7"/>
    <col min="12033" max="12033" width="15.5546875" style="7" customWidth="1"/>
    <col min="12034" max="12034" width="5" style="7" customWidth="1"/>
    <col min="12035" max="12035" width="16.88671875" style="7" customWidth="1"/>
    <col min="12036" max="12036" width="45" style="7" customWidth="1"/>
    <col min="12037" max="12037" width="4.88671875" style="7" customWidth="1"/>
    <col min="12038" max="12038" width="8.109375" style="7" customWidth="1"/>
    <col min="12039" max="12040" width="9.88671875" style="7" customWidth="1"/>
    <col min="12041" max="12041" width="7.6640625" style="7" customWidth="1"/>
    <col min="12042" max="12042" width="11.21875" style="7" customWidth="1"/>
    <col min="12043" max="12043" width="9.77734375" style="7" customWidth="1"/>
    <col min="12044" max="12044" width="11.109375" style="7" customWidth="1"/>
    <col min="12045" max="12045" width="8.21875" style="7"/>
    <col min="12046" max="12046" width="12.6640625" style="7" customWidth="1"/>
    <col min="12047" max="12288" width="8.21875" style="7"/>
    <col min="12289" max="12289" width="15.5546875" style="7" customWidth="1"/>
    <col min="12290" max="12290" width="5" style="7" customWidth="1"/>
    <col min="12291" max="12291" width="16.88671875" style="7" customWidth="1"/>
    <col min="12292" max="12292" width="45" style="7" customWidth="1"/>
    <col min="12293" max="12293" width="4.88671875" style="7" customWidth="1"/>
    <col min="12294" max="12294" width="8.109375" style="7" customWidth="1"/>
    <col min="12295" max="12296" width="9.88671875" style="7" customWidth="1"/>
    <col min="12297" max="12297" width="7.6640625" style="7" customWidth="1"/>
    <col min="12298" max="12298" width="11.21875" style="7" customWidth="1"/>
    <col min="12299" max="12299" width="9.77734375" style="7" customWidth="1"/>
    <col min="12300" max="12300" width="11.109375" style="7" customWidth="1"/>
    <col min="12301" max="12301" width="8.21875" style="7"/>
    <col min="12302" max="12302" width="12.6640625" style="7" customWidth="1"/>
    <col min="12303" max="12544" width="8.21875" style="7"/>
    <col min="12545" max="12545" width="15.5546875" style="7" customWidth="1"/>
    <col min="12546" max="12546" width="5" style="7" customWidth="1"/>
    <col min="12547" max="12547" width="16.88671875" style="7" customWidth="1"/>
    <col min="12548" max="12548" width="45" style="7" customWidth="1"/>
    <col min="12549" max="12549" width="4.88671875" style="7" customWidth="1"/>
    <col min="12550" max="12550" width="8.109375" style="7" customWidth="1"/>
    <col min="12551" max="12552" width="9.88671875" style="7" customWidth="1"/>
    <col min="12553" max="12553" width="7.6640625" style="7" customWidth="1"/>
    <col min="12554" max="12554" width="11.21875" style="7" customWidth="1"/>
    <col min="12555" max="12555" width="9.77734375" style="7" customWidth="1"/>
    <col min="12556" max="12556" width="11.109375" style="7" customWidth="1"/>
    <col min="12557" max="12557" width="8.21875" style="7"/>
    <col min="12558" max="12558" width="12.6640625" style="7" customWidth="1"/>
    <col min="12559" max="12800" width="8.21875" style="7"/>
    <col min="12801" max="12801" width="15.5546875" style="7" customWidth="1"/>
    <col min="12802" max="12802" width="5" style="7" customWidth="1"/>
    <col min="12803" max="12803" width="16.88671875" style="7" customWidth="1"/>
    <col min="12804" max="12804" width="45" style="7" customWidth="1"/>
    <col min="12805" max="12805" width="4.88671875" style="7" customWidth="1"/>
    <col min="12806" max="12806" width="8.109375" style="7" customWidth="1"/>
    <col min="12807" max="12808" width="9.88671875" style="7" customWidth="1"/>
    <col min="12809" max="12809" width="7.6640625" style="7" customWidth="1"/>
    <col min="12810" max="12810" width="11.21875" style="7" customWidth="1"/>
    <col min="12811" max="12811" width="9.77734375" style="7" customWidth="1"/>
    <col min="12812" max="12812" width="11.109375" style="7" customWidth="1"/>
    <col min="12813" max="12813" width="8.21875" style="7"/>
    <col min="12814" max="12814" width="12.6640625" style="7" customWidth="1"/>
    <col min="12815" max="13056" width="8.21875" style="7"/>
    <col min="13057" max="13057" width="15.5546875" style="7" customWidth="1"/>
    <col min="13058" max="13058" width="5" style="7" customWidth="1"/>
    <col min="13059" max="13059" width="16.88671875" style="7" customWidth="1"/>
    <col min="13060" max="13060" width="45" style="7" customWidth="1"/>
    <col min="13061" max="13061" width="4.88671875" style="7" customWidth="1"/>
    <col min="13062" max="13062" width="8.109375" style="7" customWidth="1"/>
    <col min="13063" max="13064" width="9.88671875" style="7" customWidth="1"/>
    <col min="13065" max="13065" width="7.6640625" style="7" customWidth="1"/>
    <col min="13066" max="13066" width="11.21875" style="7" customWidth="1"/>
    <col min="13067" max="13067" width="9.77734375" style="7" customWidth="1"/>
    <col min="13068" max="13068" width="11.109375" style="7" customWidth="1"/>
    <col min="13069" max="13069" width="8.21875" style="7"/>
    <col min="13070" max="13070" width="12.6640625" style="7" customWidth="1"/>
    <col min="13071" max="13312" width="8.21875" style="7"/>
    <col min="13313" max="13313" width="15.5546875" style="7" customWidth="1"/>
    <col min="13314" max="13314" width="5" style="7" customWidth="1"/>
    <col min="13315" max="13315" width="16.88671875" style="7" customWidth="1"/>
    <col min="13316" max="13316" width="45" style="7" customWidth="1"/>
    <col min="13317" max="13317" width="4.88671875" style="7" customWidth="1"/>
    <col min="13318" max="13318" width="8.109375" style="7" customWidth="1"/>
    <col min="13319" max="13320" width="9.88671875" style="7" customWidth="1"/>
    <col min="13321" max="13321" width="7.6640625" style="7" customWidth="1"/>
    <col min="13322" max="13322" width="11.21875" style="7" customWidth="1"/>
    <col min="13323" max="13323" width="9.77734375" style="7" customWidth="1"/>
    <col min="13324" max="13324" width="11.109375" style="7" customWidth="1"/>
    <col min="13325" max="13325" width="8.21875" style="7"/>
    <col min="13326" max="13326" width="12.6640625" style="7" customWidth="1"/>
    <col min="13327" max="13568" width="8.21875" style="7"/>
    <col min="13569" max="13569" width="15.5546875" style="7" customWidth="1"/>
    <col min="13570" max="13570" width="5" style="7" customWidth="1"/>
    <col min="13571" max="13571" width="16.88671875" style="7" customWidth="1"/>
    <col min="13572" max="13572" width="45" style="7" customWidth="1"/>
    <col min="13573" max="13573" width="4.88671875" style="7" customWidth="1"/>
    <col min="13574" max="13574" width="8.109375" style="7" customWidth="1"/>
    <col min="13575" max="13576" width="9.88671875" style="7" customWidth="1"/>
    <col min="13577" max="13577" width="7.6640625" style="7" customWidth="1"/>
    <col min="13578" max="13578" width="11.21875" style="7" customWidth="1"/>
    <col min="13579" max="13579" width="9.77734375" style="7" customWidth="1"/>
    <col min="13580" max="13580" width="11.109375" style="7" customWidth="1"/>
    <col min="13581" max="13581" width="8.21875" style="7"/>
    <col min="13582" max="13582" width="12.6640625" style="7" customWidth="1"/>
    <col min="13583" max="13824" width="8.21875" style="7"/>
    <col min="13825" max="13825" width="15.5546875" style="7" customWidth="1"/>
    <col min="13826" max="13826" width="5" style="7" customWidth="1"/>
    <col min="13827" max="13827" width="16.88671875" style="7" customWidth="1"/>
    <col min="13828" max="13828" width="45" style="7" customWidth="1"/>
    <col min="13829" max="13829" width="4.88671875" style="7" customWidth="1"/>
    <col min="13830" max="13830" width="8.109375" style="7" customWidth="1"/>
    <col min="13831" max="13832" width="9.88671875" style="7" customWidth="1"/>
    <col min="13833" max="13833" width="7.6640625" style="7" customWidth="1"/>
    <col min="13834" max="13834" width="11.21875" style="7" customWidth="1"/>
    <col min="13835" max="13835" width="9.77734375" style="7" customWidth="1"/>
    <col min="13836" max="13836" width="11.109375" style="7" customWidth="1"/>
    <col min="13837" max="13837" width="8.21875" style="7"/>
    <col min="13838" max="13838" width="12.6640625" style="7" customWidth="1"/>
    <col min="13839" max="14080" width="8.21875" style="7"/>
    <col min="14081" max="14081" width="15.5546875" style="7" customWidth="1"/>
    <col min="14082" max="14082" width="5" style="7" customWidth="1"/>
    <col min="14083" max="14083" width="16.88671875" style="7" customWidth="1"/>
    <col min="14084" max="14084" width="45" style="7" customWidth="1"/>
    <col min="14085" max="14085" width="4.88671875" style="7" customWidth="1"/>
    <col min="14086" max="14086" width="8.109375" style="7" customWidth="1"/>
    <col min="14087" max="14088" width="9.88671875" style="7" customWidth="1"/>
    <col min="14089" max="14089" width="7.6640625" style="7" customWidth="1"/>
    <col min="14090" max="14090" width="11.21875" style="7" customWidth="1"/>
    <col min="14091" max="14091" width="9.77734375" style="7" customWidth="1"/>
    <col min="14092" max="14092" width="11.109375" style="7" customWidth="1"/>
    <col min="14093" max="14093" width="8.21875" style="7"/>
    <col min="14094" max="14094" width="12.6640625" style="7" customWidth="1"/>
    <col min="14095" max="14336" width="8.21875" style="7"/>
    <col min="14337" max="14337" width="15.5546875" style="7" customWidth="1"/>
    <col min="14338" max="14338" width="5" style="7" customWidth="1"/>
    <col min="14339" max="14339" width="16.88671875" style="7" customWidth="1"/>
    <col min="14340" max="14340" width="45" style="7" customWidth="1"/>
    <col min="14341" max="14341" width="4.88671875" style="7" customWidth="1"/>
    <col min="14342" max="14342" width="8.109375" style="7" customWidth="1"/>
    <col min="14343" max="14344" width="9.88671875" style="7" customWidth="1"/>
    <col min="14345" max="14345" width="7.6640625" style="7" customWidth="1"/>
    <col min="14346" max="14346" width="11.21875" style="7" customWidth="1"/>
    <col min="14347" max="14347" width="9.77734375" style="7" customWidth="1"/>
    <col min="14348" max="14348" width="11.109375" style="7" customWidth="1"/>
    <col min="14349" max="14349" width="8.21875" style="7"/>
    <col min="14350" max="14350" width="12.6640625" style="7" customWidth="1"/>
    <col min="14351" max="14592" width="8.21875" style="7"/>
    <col min="14593" max="14593" width="15.5546875" style="7" customWidth="1"/>
    <col min="14594" max="14594" width="5" style="7" customWidth="1"/>
    <col min="14595" max="14595" width="16.88671875" style="7" customWidth="1"/>
    <col min="14596" max="14596" width="45" style="7" customWidth="1"/>
    <col min="14597" max="14597" width="4.88671875" style="7" customWidth="1"/>
    <col min="14598" max="14598" width="8.109375" style="7" customWidth="1"/>
    <col min="14599" max="14600" width="9.88671875" style="7" customWidth="1"/>
    <col min="14601" max="14601" width="7.6640625" style="7" customWidth="1"/>
    <col min="14602" max="14602" width="11.21875" style="7" customWidth="1"/>
    <col min="14603" max="14603" width="9.77734375" style="7" customWidth="1"/>
    <col min="14604" max="14604" width="11.109375" style="7" customWidth="1"/>
    <col min="14605" max="14605" width="8.21875" style="7"/>
    <col min="14606" max="14606" width="12.6640625" style="7" customWidth="1"/>
    <col min="14607" max="14848" width="8.21875" style="7"/>
    <col min="14849" max="14849" width="15.5546875" style="7" customWidth="1"/>
    <col min="14850" max="14850" width="5" style="7" customWidth="1"/>
    <col min="14851" max="14851" width="16.88671875" style="7" customWidth="1"/>
    <col min="14852" max="14852" width="45" style="7" customWidth="1"/>
    <col min="14853" max="14853" width="4.88671875" style="7" customWidth="1"/>
    <col min="14854" max="14854" width="8.109375" style="7" customWidth="1"/>
    <col min="14855" max="14856" width="9.88671875" style="7" customWidth="1"/>
    <col min="14857" max="14857" width="7.6640625" style="7" customWidth="1"/>
    <col min="14858" max="14858" width="11.21875" style="7" customWidth="1"/>
    <col min="14859" max="14859" width="9.77734375" style="7" customWidth="1"/>
    <col min="14860" max="14860" width="11.109375" style="7" customWidth="1"/>
    <col min="14861" max="14861" width="8.21875" style="7"/>
    <col min="14862" max="14862" width="12.6640625" style="7" customWidth="1"/>
    <col min="14863" max="15104" width="8.21875" style="7"/>
    <col min="15105" max="15105" width="15.5546875" style="7" customWidth="1"/>
    <col min="15106" max="15106" width="5" style="7" customWidth="1"/>
    <col min="15107" max="15107" width="16.88671875" style="7" customWidth="1"/>
    <col min="15108" max="15108" width="45" style="7" customWidth="1"/>
    <col min="15109" max="15109" width="4.88671875" style="7" customWidth="1"/>
    <col min="15110" max="15110" width="8.109375" style="7" customWidth="1"/>
    <col min="15111" max="15112" width="9.88671875" style="7" customWidth="1"/>
    <col min="15113" max="15113" width="7.6640625" style="7" customWidth="1"/>
    <col min="15114" max="15114" width="11.21875" style="7" customWidth="1"/>
    <col min="15115" max="15115" width="9.77734375" style="7" customWidth="1"/>
    <col min="15116" max="15116" width="11.109375" style="7" customWidth="1"/>
    <col min="15117" max="15117" width="8.21875" style="7"/>
    <col min="15118" max="15118" width="12.6640625" style="7" customWidth="1"/>
    <col min="15119" max="15360" width="8.21875" style="7"/>
    <col min="15361" max="15361" width="15.5546875" style="7" customWidth="1"/>
    <col min="15362" max="15362" width="5" style="7" customWidth="1"/>
    <col min="15363" max="15363" width="16.88671875" style="7" customWidth="1"/>
    <col min="15364" max="15364" width="45" style="7" customWidth="1"/>
    <col min="15365" max="15365" width="4.88671875" style="7" customWidth="1"/>
    <col min="15366" max="15366" width="8.109375" style="7" customWidth="1"/>
    <col min="15367" max="15368" width="9.88671875" style="7" customWidth="1"/>
    <col min="15369" max="15369" width="7.6640625" style="7" customWidth="1"/>
    <col min="15370" max="15370" width="11.21875" style="7" customWidth="1"/>
    <col min="15371" max="15371" width="9.77734375" style="7" customWidth="1"/>
    <col min="15372" max="15372" width="11.109375" style="7" customWidth="1"/>
    <col min="15373" max="15373" width="8.21875" style="7"/>
    <col min="15374" max="15374" width="12.6640625" style="7" customWidth="1"/>
    <col min="15375" max="15616" width="8.21875" style="7"/>
    <col min="15617" max="15617" width="15.5546875" style="7" customWidth="1"/>
    <col min="15618" max="15618" width="5" style="7" customWidth="1"/>
    <col min="15619" max="15619" width="16.88671875" style="7" customWidth="1"/>
    <col min="15620" max="15620" width="45" style="7" customWidth="1"/>
    <col min="15621" max="15621" width="4.88671875" style="7" customWidth="1"/>
    <col min="15622" max="15622" width="8.109375" style="7" customWidth="1"/>
    <col min="15623" max="15624" width="9.88671875" style="7" customWidth="1"/>
    <col min="15625" max="15625" width="7.6640625" style="7" customWidth="1"/>
    <col min="15626" max="15626" width="11.21875" style="7" customWidth="1"/>
    <col min="15627" max="15627" width="9.77734375" style="7" customWidth="1"/>
    <col min="15628" max="15628" width="11.109375" style="7" customWidth="1"/>
    <col min="15629" max="15629" width="8.21875" style="7"/>
    <col min="15630" max="15630" width="12.6640625" style="7" customWidth="1"/>
    <col min="15631" max="15872" width="8.21875" style="7"/>
    <col min="15873" max="15873" width="15.5546875" style="7" customWidth="1"/>
    <col min="15874" max="15874" width="5" style="7" customWidth="1"/>
    <col min="15875" max="15875" width="16.88671875" style="7" customWidth="1"/>
    <col min="15876" max="15876" width="45" style="7" customWidth="1"/>
    <col min="15877" max="15877" width="4.88671875" style="7" customWidth="1"/>
    <col min="15878" max="15878" width="8.109375" style="7" customWidth="1"/>
    <col min="15879" max="15880" width="9.88671875" style="7" customWidth="1"/>
    <col min="15881" max="15881" width="7.6640625" style="7" customWidth="1"/>
    <col min="15882" max="15882" width="11.21875" style="7" customWidth="1"/>
    <col min="15883" max="15883" width="9.77734375" style="7" customWidth="1"/>
    <col min="15884" max="15884" width="11.109375" style="7" customWidth="1"/>
    <col min="15885" max="15885" width="8.21875" style="7"/>
    <col min="15886" max="15886" width="12.6640625" style="7" customWidth="1"/>
    <col min="15887" max="16128" width="8.21875" style="7"/>
    <col min="16129" max="16129" width="15.5546875" style="7" customWidth="1"/>
    <col min="16130" max="16130" width="5" style="7" customWidth="1"/>
    <col min="16131" max="16131" width="16.88671875" style="7" customWidth="1"/>
    <col min="16132" max="16132" width="45" style="7" customWidth="1"/>
    <col min="16133" max="16133" width="4.88671875" style="7" customWidth="1"/>
    <col min="16134" max="16134" width="8.109375" style="7" customWidth="1"/>
    <col min="16135" max="16136" width="9.88671875" style="7" customWidth="1"/>
    <col min="16137" max="16137" width="7.6640625" style="7" customWidth="1"/>
    <col min="16138" max="16138" width="11.21875" style="7" customWidth="1"/>
    <col min="16139" max="16139" width="9.77734375" style="7" customWidth="1"/>
    <col min="16140" max="16140" width="11.109375" style="7" customWidth="1"/>
    <col min="16141" max="16141" width="8.21875" style="7"/>
    <col min="16142" max="16142" width="12.6640625" style="7" customWidth="1"/>
    <col min="16143" max="16384" width="8.21875" style="7"/>
  </cols>
  <sheetData>
    <row r="1" spans="1:17" ht="21.75" customHeight="1" x14ac:dyDescent="0.25">
      <c r="A1" s="137" t="s">
        <v>28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2"/>
      <c r="N1" s="12"/>
    </row>
    <row r="2" spans="1:17" ht="16.5" customHeight="1" x14ac:dyDescent="0.25">
      <c r="A2" s="136" t="s">
        <v>29</v>
      </c>
      <c r="B2" s="135" t="s">
        <v>1</v>
      </c>
      <c r="C2" s="136" t="s">
        <v>30</v>
      </c>
      <c r="D2" s="136" t="s">
        <v>31</v>
      </c>
      <c r="E2" s="136" t="s">
        <v>32</v>
      </c>
      <c r="F2" s="136" t="s">
        <v>33</v>
      </c>
      <c r="G2" s="139" t="s">
        <v>34</v>
      </c>
      <c r="H2" s="139"/>
      <c r="I2" s="139"/>
      <c r="J2" s="139" t="s">
        <v>35</v>
      </c>
      <c r="K2" s="139"/>
      <c r="L2" s="139"/>
      <c r="M2" s="16" t="s">
        <v>36</v>
      </c>
      <c r="N2" s="16" t="s">
        <v>37</v>
      </c>
    </row>
    <row r="3" spans="1:17" ht="18" customHeight="1" x14ac:dyDescent="0.25">
      <c r="A3" s="136"/>
      <c r="B3" s="135"/>
      <c r="C3" s="136"/>
      <c r="D3" s="136"/>
      <c r="E3" s="136"/>
      <c r="F3" s="136"/>
      <c r="G3" s="15" t="s">
        <v>38</v>
      </c>
      <c r="H3" s="15" t="s">
        <v>39</v>
      </c>
      <c r="I3" s="15" t="s">
        <v>10</v>
      </c>
      <c r="J3" s="15" t="s">
        <v>38</v>
      </c>
      <c r="K3" s="15" t="s">
        <v>39</v>
      </c>
      <c r="L3" s="15" t="s">
        <v>10</v>
      </c>
      <c r="M3" s="16">
        <f>F6*620</f>
        <v>26040</v>
      </c>
      <c r="N3" s="16">
        <f>1.1*1</f>
        <v>1.1000000000000001</v>
      </c>
    </row>
    <row r="4" spans="1:17" ht="14.25" customHeight="1" x14ac:dyDescent="0.25">
      <c r="A4" s="146" t="s">
        <v>40</v>
      </c>
      <c r="B4" s="17">
        <v>1</v>
      </c>
      <c r="C4" s="18" t="s">
        <v>41</v>
      </c>
      <c r="D4" s="19"/>
      <c r="E4" s="13"/>
      <c r="F4" s="13"/>
      <c r="G4" s="20"/>
      <c r="H4" s="20"/>
      <c r="I4" s="20"/>
      <c r="J4" s="20"/>
      <c r="K4" s="20"/>
      <c r="L4" s="20"/>
    </row>
    <row r="5" spans="1:17" ht="13.95" customHeight="1" outlineLevel="1" x14ac:dyDescent="0.25">
      <c r="A5" s="147"/>
      <c r="B5" s="14">
        <v>1.1000000000000001</v>
      </c>
      <c r="C5" s="19" t="s">
        <v>42</v>
      </c>
      <c r="D5" s="22"/>
      <c r="E5" s="13"/>
      <c r="F5" s="13"/>
      <c r="G5" s="28"/>
      <c r="H5" s="28"/>
      <c r="I5" s="20"/>
      <c r="J5" s="20"/>
      <c r="K5" s="20"/>
      <c r="L5" s="20"/>
    </row>
    <row r="6" spans="1:17" ht="13.95" customHeight="1" outlineLevel="2" x14ac:dyDescent="0.25">
      <c r="A6" s="147"/>
      <c r="B6" s="14"/>
      <c r="C6" s="19"/>
      <c r="D6" s="22" t="s">
        <v>43</v>
      </c>
      <c r="E6" s="13" t="s">
        <v>44</v>
      </c>
      <c r="F6" s="13">
        <v>42</v>
      </c>
      <c r="G6" s="28">
        <f>0.8*620</f>
        <v>496</v>
      </c>
      <c r="H6" s="28"/>
      <c r="I6" s="20">
        <f>22*$N$3</f>
        <v>24.2</v>
      </c>
      <c r="J6" s="20">
        <f>F6*G6</f>
        <v>20832</v>
      </c>
      <c r="K6" s="20"/>
      <c r="L6" s="20">
        <f>F6*I6</f>
        <v>1016.4</v>
      </c>
      <c r="M6" s="16"/>
      <c r="N6" s="12"/>
    </row>
    <row r="7" spans="1:17" ht="13.95" customHeight="1" outlineLevel="2" x14ac:dyDescent="0.25">
      <c r="A7" s="147"/>
      <c r="B7" s="14"/>
      <c r="C7" s="29"/>
      <c r="D7" s="39" t="s">
        <v>45</v>
      </c>
      <c r="E7" s="26" t="s">
        <v>44</v>
      </c>
      <c r="F7" s="30"/>
      <c r="G7" s="28">
        <f>(0.67+0.05)*600</f>
        <v>432</v>
      </c>
      <c r="H7" s="28"/>
      <c r="I7" s="28">
        <f>22*$N$3</f>
        <v>24.2</v>
      </c>
      <c r="J7" s="20">
        <f>F7*G7</f>
        <v>0</v>
      </c>
      <c r="K7" s="20"/>
      <c r="L7" s="20">
        <f>F7*I7</f>
        <v>0</v>
      </c>
      <c r="M7" s="16"/>
      <c r="N7" s="12"/>
    </row>
    <row r="8" spans="1:17" ht="13.95" customHeight="1" outlineLevel="1" x14ac:dyDescent="0.25">
      <c r="A8" s="147"/>
      <c r="B8" s="14">
        <v>1.2</v>
      </c>
      <c r="C8" s="19" t="s">
        <v>46</v>
      </c>
      <c r="D8" s="21"/>
      <c r="E8" s="47" t="s">
        <v>47</v>
      </c>
      <c r="F8" s="26">
        <v>84</v>
      </c>
      <c r="G8" s="20"/>
      <c r="H8" s="20"/>
      <c r="I8" s="20">
        <f>1.8*$N$3</f>
        <v>1.98</v>
      </c>
      <c r="J8" s="20"/>
      <c r="K8" s="20"/>
      <c r="L8" s="20">
        <f>F8*I8</f>
        <v>166.32</v>
      </c>
      <c r="M8" s="12"/>
      <c r="N8" s="12"/>
    </row>
    <row r="9" spans="1:17" ht="13.95" customHeight="1" outlineLevel="1" x14ac:dyDescent="0.25">
      <c r="A9" s="147"/>
      <c r="B9" s="14">
        <v>1.3</v>
      </c>
      <c r="C9" s="19" t="s">
        <v>48</v>
      </c>
      <c r="D9" s="19" t="s">
        <v>49</v>
      </c>
      <c r="E9" s="13" t="s">
        <v>50</v>
      </c>
      <c r="F9" s="13">
        <v>10</v>
      </c>
      <c r="G9" s="20"/>
      <c r="H9" s="20"/>
      <c r="I9" s="20">
        <f>2.7*$N$3</f>
        <v>2.97</v>
      </c>
      <c r="J9" s="20"/>
      <c r="K9" s="20"/>
      <c r="L9" s="20">
        <f>F9*I9</f>
        <v>29.700000000000003</v>
      </c>
      <c r="M9" s="12"/>
      <c r="N9" s="12"/>
    </row>
    <row r="10" spans="1:17" ht="14.25" customHeight="1" x14ac:dyDescent="0.25">
      <c r="A10" s="147"/>
      <c r="B10" s="17">
        <v>2</v>
      </c>
      <c r="C10" s="18" t="s">
        <v>51</v>
      </c>
      <c r="D10" s="48"/>
      <c r="E10" s="48"/>
      <c r="F10" s="48"/>
      <c r="G10" s="20"/>
      <c r="H10" s="20"/>
      <c r="I10" s="20"/>
      <c r="J10" s="20"/>
      <c r="K10" s="20"/>
      <c r="L10" s="20"/>
      <c r="M10" s="12"/>
      <c r="N10" s="12"/>
    </row>
    <row r="11" spans="1:17" ht="14.25" customHeight="1" outlineLevel="1" x14ac:dyDescent="0.25">
      <c r="A11" s="147"/>
      <c r="B11" s="14">
        <v>2.1</v>
      </c>
      <c r="C11" s="19" t="s">
        <v>52</v>
      </c>
      <c r="D11" s="30"/>
      <c r="E11" s="30"/>
      <c r="F11" s="13"/>
      <c r="G11" s="20"/>
      <c r="H11" s="20"/>
      <c r="I11" s="20"/>
      <c r="J11" s="20"/>
      <c r="K11" s="20"/>
      <c r="L11" s="20"/>
      <c r="M11" s="12"/>
      <c r="N11" s="12"/>
    </row>
    <row r="12" spans="1:17" ht="14.25" customHeight="1" outlineLevel="2" x14ac:dyDescent="0.25">
      <c r="A12" s="147"/>
      <c r="B12" s="14"/>
      <c r="C12" s="29" t="s">
        <v>53</v>
      </c>
      <c r="D12" s="40" t="s">
        <v>54</v>
      </c>
      <c r="E12" s="26" t="s">
        <v>55</v>
      </c>
      <c r="F12" s="26"/>
      <c r="G12" s="28">
        <v>8400</v>
      </c>
      <c r="H12" s="28"/>
      <c r="I12" s="28">
        <f t="shared" ref="I12:I25" si="0">1000*$N$3</f>
        <v>1100</v>
      </c>
      <c r="J12" s="20">
        <f t="shared" ref="J12:J23" si="1">F12*G12</f>
        <v>0</v>
      </c>
      <c r="K12" s="20"/>
      <c r="L12" s="20">
        <f t="shared" ref="L12:L23" si="2">F12*I12</f>
        <v>0</v>
      </c>
      <c r="M12" s="12"/>
      <c r="N12" s="12"/>
    </row>
    <row r="13" spans="1:17" ht="14.25" customHeight="1" outlineLevel="2" x14ac:dyDescent="0.25">
      <c r="A13" s="147"/>
      <c r="B13" s="14"/>
      <c r="C13" s="29" t="s">
        <v>53</v>
      </c>
      <c r="D13" s="40" t="s">
        <v>56</v>
      </c>
      <c r="E13" s="26" t="s">
        <v>55</v>
      </c>
      <c r="F13" s="26"/>
      <c r="G13" s="28">
        <v>18600</v>
      </c>
      <c r="H13" s="28"/>
      <c r="I13" s="28">
        <f t="shared" si="0"/>
        <v>1100</v>
      </c>
      <c r="J13" s="20">
        <f t="shared" si="1"/>
        <v>0</v>
      </c>
      <c r="K13" s="20"/>
      <c r="L13" s="20">
        <f t="shared" si="2"/>
        <v>0</v>
      </c>
      <c r="M13" s="12"/>
      <c r="N13" s="12"/>
    </row>
    <row r="14" spans="1:17" ht="14.25" customHeight="1" outlineLevel="2" x14ac:dyDescent="0.25">
      <c r="A14" s="147"/>
      <c r="B14" s="14"/>
      <c r="C14" s="29" t="s">
        <v>53</v>
      </c>
      <c r="D14" s="40" t="s">
        <v>57</v>
      </c>
      <c r="E14" s="26" t="s">
        <v>55</v>
      </c>
      <c r="F14" s="26"/>
      <c r="G14" s="28">
        <v>18600</v>
      </c>
      <c r="H14" s="28"/>
      <c r="I14" s="28">
        <f t="shared" si="0"/>
        <v>1100</v>
      </c>
      <c r="J14" s="20">
        <f t="shared" si="1"/>
        <v>0</v>
      </c>
      <c r="K14" s="20"/>
      <c r="L14" s="20">
        <f t="shared" si="2"/>
        <v>0</v>
      </c>
      <c r="M14" s="12"/>
      <c r="N14" s="12"/>
    </row>
    <row r="15" spans="1:17" ht="14.25" customHeight="1" outlineLevel="2" x14ac:dyDescent="0.25">
      <c r="A15" s="147"/>
      <c r="B15" s="14"/>
      <c r="C15" s="29" t="s">
        <v>53</v>
      </c>
      <c r="D15" s="40" t="s">
        <v>58</v>
      </c>
      <c r="E15" s="26" t="s">
        <v>55</v>
      </c>
      <c r="F15" s="26"/>
      <c r="G15" s="28">
        <v>22100</v>
      </c>
      <c r="H15" s="28"/>
      <c r="I15" s="28">
        <f t="shared" si="0"/>
        <v>1100</v>
      </c>
      <c r="J15" s="20">
        <f t="shared" si="1"/>
        <v>0</v>
      </c>
      <c r="K15" s="20"/>
      <c r="L15" s="20">
        <f t="shared" si="2"/>
        <v>0</v>
      </c>
      <c r="M15" s="12"/>
      <c r="N15" s="12"/>
    </row>
    <row r="16" spans="1:17" ht="14.25" customHeight="1" outlineLevel="2" x14ac:dyDescent="0.25">
      <c r="A16" s="147"/>
      <c r="B16" s="14"/>
      <c r="C16" s="29" t="s">
        <v>53</v>
      </c>
      <c r="D16" s="40" t="s">
        <v>59</v>
      </c>
      <c r="E16" s="26" t="s">
        <v>55</v>
      </c>
      <c r="F16" s="26"/>
      <c r="G16" s="28">
        <v>32900</v>
      </c>
      <c r="H16" s="28"/>
      <c r="I16" s="28">
        <f t="shared" si="0"/>
        <v>1100</v>
      </c>
      <c r="J16" s="20">
        <f t="shared" si="1"/>
        <v>0</v>
      </c>
      <c r="K16" s="20"/>
      <c r="L16" s="20">
        <f t="shared" si="2"/>
        <v>0</v>
      </c>
      <c r="M16" s="12"/>
      <c r="N16" s="12"/>
      <c r="Q16" s="49"/>
    </row>
    <row r="17" spans="1:17" ht="12.45" customHeight="1" outlineLevel="2" x14ac:dyDescent="0.25">
      <c r="A17" s="147"/>
      <c r="B17" s="14"/>
      <c r="C17" s="29" t="s">
        <v>53</v>
      </c>
      <c r="D17" s="97" t="s">
        <v>409</v>
      </c>
      <c r="E17" s="26" t="s">
        <v>55</v>
      </c>
      <c r="F17" s="26">
        <v>1</v>
      </c>
      <c r="G17" s="28">
        <v>4800</v>
      </c>
      <c r="H17" s="28"/>
      <c r="I17" s="28">
        <f t="shared" si="0"/>
        <v>1100</v>
      </c>
      <c r="J17" s="20">
        <f t="shared" si="1"/>
        <v>4800</v>
      </c>
      <c r="K17" s="20"/>
      <c r="L17" s="20">
        <f t="shared" si="2"/>
        <v>1100</v>
      </c>
      <c r="M17" s="12"/>
      <c r="N17" s="12"/>
      <c r="Q17" s="49"/>
    </row>
    <row r="18" spans="1:17" ht="12.45" customHeight="1" outlineLevel="2" x14ac:dyDescent="0.25">
      <c r="A18" s="147"/>
      <c r="B18" s="14"/>
      <c r="C18" s="29" t="s">
        <v>53</v>
      </c>
      <c r="D18" s="39" t="s">
        <v>60</v>
      </c>
      <c r="E18" s="26" t="s">
        <v>55</v>
      </c>
      <c r="F18" s="26"/>
      <c r="G18" s="28">
        <v>16520</v>
      </c>
      <c r="H18" s="28"/>
      <c r="I18" s="28">
        <f t="shared" si="0"/>
        <v>1100</v>
      </c>
      <c r="J18" s="20">
        <f t="shared" si="1"/>
        <v>0</v>
      </c>
      <c r="K18" s="20"/>
      <c r="L18" s="20">
        <f t="shared" si="2"/>
        <v>0</v>
      </c>
      <c r="M18" s="12"/>
      <c r="N18" s="12"/>
      <c r="Q18" s="49"/>
    </row>
    <row r="19" spans="1:17" ht="12.45" customHeight="1" outlineLevel="2" x14ac:dyDescent="0.25">
      <c r="A19" s="147"/>
      <c r="B19" s="14"/>
      <c r="C19" s="29" t="s">
        <v>53</v>
      </c>
      <c r="D19" s="39" t="s">
        <v>61</v>
      </c>
      <c r="E19" s="26" t="s">
        <v>55</v>
      </c>
      <c r="F19" s="26"/>
      <c r="G19" s="28">
        <v>20250</v>
      </c>
      <c r="H19" s="28"/>
      <c r="I19" s="28">
        <f t="shared" si="0"/>
        <v>1100</v>
      </c>
      <c r="J19" s="20">
        <f t="shared" si="1"/>
        <v>0</v>
      </c>
      <c r="K19" s="20"/>
      <c r="L19" s="20">
        <f t="shared" si="2"/>
        <v>0</v>
      </c>
      <c r="M19" s="12"/>
      <c r="N19" s="12"/>
      <c r="Q19" s="49"/>
    </row>
    <row r="20" spans="1:17" ht="12.45" customHeight="1" outlineLevel="2" x14ac:dyDescent="0.25">
      <c r="A20" s="147"/>
      <c r="B20" s="14"/>
      <c r="C20" s="29" t="s">
        <v>53</v>
      </c>
      <c r="D20" s="39" t="s">
        <v>62</v>
      </c>
      <c r="E20" s="26" t="s">
        <v>55</v>
      </c>
      <c r="F20" s="26"/>
      <c r="G20" s="28">
        <v>21100</v>
      </c>
      <c r="H20" s="28"/>
      <c r="I20" s="28">
        <f t="shared" si="0"/>
        <v>1100</v>
      </c>
      <c r="J20" s="20">
        <f t="shared" si="1"/>
        <v>0</v>
      </c>
      <c r="K20" s="20"/>
      <c r="L20" s="20">
        <f t="shared" si="2"/>
        <v>0</v>
      </c>
      <c r="M20" s="12"/>
      <c r="N20" s="12"/>
      <c r="Q20" s="49"/>
    </row>
    <row r="21" spans="1:17" ht="12.45" customHeight="1" outlineLevel="2" x14ac:dyDescent="0.25">
      <c r="A21" s="147"/>
      <c r="B21" s="14"/>
      <c r="C21" s="29" t="s">
        <v>53</v>
      </c>
      <c r="D21" s="39" t="s">
        <v>63</v>
      </c>
      <c r="E21" s="26" t="s">
        <v>55</v>
      </c>
      <c r="F21" s="26"/>
      <c r="G21" s="28">
        <v>33400</v>
      </c>
      <c r="H21" s="28"/>
      <c r="I21" s="28">
        <f t="shared" si="0"/>
        <v>1100</v>
      </c>
      <c r="J21" s="20">
        <f t="shared" si="1"/>
        <v>0</v>
      </c>
      <c r="K21" s="20"/>
      <c r="L21" s="20">
        <f t="shared" si="2"/>
        <v>0</v>
      </c>
      <c r="M21" s="12"/>
      <c r="N21" s="12"/>
      <c r="Q21" s="49"/>
    </row>
    <row r="22" spans="1:17" ht="12.45" customHeight="1" outlineLevel="2" x14ac:dyDescent="0.25">
      <c r="A22" s="147"/>
      <c r="B22" s="14"/>
      <c r="C22" s="29" t="s">
        <v>53</v>
      </c>
      <c r="D22" s="39" t="s">
        <v>64</v>
      </c>
      <c r="E22" s="26" t="s">
        <v>55</v>
      </c>
      <c r="F22" s="26"/>
      <c r="G22" s="28">
        <v>6400</v>
      </c>
      <c r="H22" s="28"/>
      <c r="I22" s="28">
        <f t="shared" si="0"/>
        <v>1100</v>
      </c>
      <c r="J22" s="20">
        <f t="shared" si="1"/>
        <v>0</v>
      </c>
      <c r="K22" s="20"/>
      <c r="L22" s="20">
        <f t="shared" si="2"/>
        <v>0</v>
      </c>
      <c r="M22" s="12"/>
      <c r="N22" s="12"/>
      <c r="Q22" s="49"/>
    </row>
    <row r="23" spans="1:17" ht="12.45" customHeight="1" outlineLevel="2" x14ac:dyDescent="0.25">
      <c r="A23" s="147"/>
      <c r="B23" s="14"/>
      <c r="C23" s="29" t="s">
        <v>53</v>
      </c>
      <c r="D23" s="39" t="s">
        <v>65</v>
      </c>
      <c r="E23" s="26" t="s">
        <v>55</v>
      </c>
      <c r="F23" s="26"/>
      <c r="G23" s="28">
        <v>14600</v>
      </c>
      <c r="H23" s="28"/>
      <c r="I23" s="28">
        <f t="shared" si="0"/>
        <v>1100</v>
      </c>
      <c r="J23" s="20">
        <f t="shared" si="1"/>
        <v>0</v>
      </c>
      <c r="K23" s="20"/>
      <c r="L23" s="20">
        <f t="shared" si="2"/>
        <v>0</v>
      </c>
      <c r="M23" s="12"/>
      <c r="N23" s="12"/>
      <c r="Q23" s="49"/>
    </row>
    <row r="24" spans="1:17" ht="13.5" customHeight="1" outlineLevel="2" x14ac:dyDescent="0.25">
      <c r="A24" s="147"/>
      <c r="B24" s="14"/>
      <c r="C24" s="29" t="s">
        <v>53</v>
      </c>
      <c r="D24" s="39" t="s">
        <v>66</v>
      </c>
      <c r="E24" s="26" t="s">
        <v>55</v>
      </c>
      <c r="F24" s="26"/>
      <c r="G24" s="28">
        <v>20000</v>
      </c>
      <c r="H24" s="28"/>
      <c r="I24" s="28">
        <f t="shared" si="0"/>
        <v>1100</v>
      </c>
      <c r="J24" s="20">
        <f t="shared" ref="J24:J29" si="3">F24*G24</f>
        <v>0</v>
      </c>
      <c r="K24" s="20"/>
      <c r="L24" s="20">
        <f t="shared" ref="L24:L29" si="4">F24*I24</f>
        <v>0</v>
      </c>
      <c r="M24" s="12"/>
      <c r="N24" s="12"/>
      <c r="Q24" s="49"/>
    </row>
    <row r="25" spans="1:17" ht="13.5" customHeight="1" outlineLevel="2" x14ac:dyDescent="0.25">
      <c r="A25" s="147"/>
      <c r="B25" s="14"/>
      <c r="C25" s="29" t="s">
        <v>53</v>
      </c>
      <c r="D25" s="39" t="s">
        <v>67</v>
      </c>
      <c r="E25" s="26" t="s">
        <v>55</v>
      </c>
      <c r="F25" s="26"/>
      <c r="G25" s="28">
        <v>32560</v>
      </c>
      <c r="H25" s="28"/>
      <c r="I25" s="28">
        <f t="shared" si="0"/>
        <v>1100</v>
      </c>
      <c r="J25" s="20">
        <f t="shared" si="3"/>
        <v>0</v>
      </c>
      <c r="K25" s="20"/>
      <c r="L25" s="20">
        <f t="shared" si="4"/>
        <v>0</v>
      </c>
      <c r="M25" s="12"/>
      <c r="N25" s="12"/>
      <c r="Q25" s="49"/>
    </row>
    <row r="26" spans="1:17" ht="13.5" customHeight="1" outlineLevel="1" x14ac:dyDescent="0.25">
      <c r="A26" s="147"/>
      <c r="B26" s="14">
        <v>2.2000000000000002</v>
      </c>
      <c r="C26" s="19" t="s">
        <v>68</v>
      </c>
      <c r="D26" s="30"/>
      <c r="E26" s="13"/>
      <c r="F26" s="13"/>
      <c r="G26" s="20"/>
      <c r="H26" s="20"/>
      <c r="I26" s="20"/>
      <c r="J26" s="20"/>
      <c r="K26" s="20"/>
      <c r="L26" s="20"/>
      <c r="M26" s="12"/>
      <c r="N26" s="12"/>
      <c r="Q26" s="49"/>
    </row>
    <row r="27" spans="1:17" ht="13.5" customHeight="1" outlineLevel="2" x14ac:dyDescent="0.25">
      <c r="A27" s="147"/>
      <c r="B27" s="14"/>
      <c r="C27" s="19" t="s">
        <v>69</v>
      </c>
      <c r="D27" s="98" t="s">
        <v>410</v>
      </c>
      <c r="E27" s="13" t="s">
        <v>55</v>
      </c>
      <c r="F27" s="13">
        <v>1</v>
      </c>
      <c r="G27" s="28">
        <v>149000</v>
      </c>
      <c r="H27" s="20"/>
      <c r="I27" s="20">
        <f>3000*$N$3</f>
        <v>3300</v>
      </c>
      <c r="J27" s="20">
        <f t="shared" si="3"/>
        <v>149000</v>
      </c>
      <c r="K27" s="20"/>
      <c r="L27" s="20">
        <f t="shared" si="4"/>
        <v>3300</v>
      </c>
      <c r="M27" s="129" t="s">
        <v>71</v>
      </c>
      <c r="N27" s="130"/>
      <c r="Q27" s="49"/>
    </row>
    <row r="28" spans="1:17" ht="13.5" customHeight="1" outlineLevel="2" x14ac:dyDescent="0.25">
      <c r="A28" s="147"/>
      <c r="B28" s="14"/>
      <c r="C28" s="19" t="s">
        <v>72</v>
      </c>
      <c r="D28" s="21"/>
      <c r="E28" s="13"/>
      <c r="F28" s="13">
        <v>1</v>
      </c>
      <c r="G28" s="20"/>
      <c r="H28" s="20"/>
      <c r="I28" s="20">
        <v>50000</v>
      </c>
      <c r="J28" s="20">
        <f t="shared" si="3"/>
        <v>0</v>
      </c>
      <c r="K28" s="20"/>
      <c r="L28" s="20">
        <f t="shared" si="4"/>
        <v>50000</v>
      </c>
      <c r="M28" s="129"/>
      <c r="N28" s="130"/>
      <c r="Q28" s="49"/>
    </row>
    <row r="29" spans="1:17" ht="13.5" customHeight="1" outlineLevel="2" x14ac:dyDescent="0.25">
      <c r="A29" s="147"/>
      <c r="B29" s="14"/>
      <c r="C29" s="19" t="s">
        <v>69</v>
      </c>
      <c r="D29" s="21" t="s">
        <v>73</v>
      </c>
      <c r="E29" s="13" t="s">
        <v>55</v>
      </c>
      <c r="F29" s="13"/>
      <c r="G29" s="20">
        <v>185000</v>
      </c>
      <c r="H29" s="20"/>
      <c r="I29" s="20">
        <f t="shared" ref="I29:I34" si="5">3000*$N$3</f>
        <v>3300</v>
      </c>
      <c r="J29" s="20">
        <f t="shared" si="3"/>
        <v>0</v>
      </c>
      <c r="K29" s="20"/>
      <c r="L29" s="20">
        <f t="shared" si="4"/>
        <v>0</v>
      </c>
      <c r="M29" s="129"/>
      <c r="N29" s="130"/>
      <c r="Q29" s="49"/>
    </row>
    <row r="30" spans="1:17" ht="13.5" customHeight="1" outlineLevel="2" x14ac:dyDescent="0.25">
      <c r="A30" s="147"/>
      <c r="B30" s="14"/>
      <c r="C30" s="19" t="s">
        <v>69</v>
      </c>
      <c r="D30" s="21" t="s">
        <v>74</v>
      </c>
      <c r="E30" s="13" t="s">
        <v>55</v>
      </c>
      <c r="F30" s="13"/>
      <c r="G30" s="20">
        <v>210000</v>
      </c>
      <c r="H30" s="20"/>
      <c r="I30" s="20">
        <f t="shared" si="5"/>
        <v>3300</v>
      </c>
      <c r="J30" s="20">
        <f t="shared" ref="J30:J77" si="6">F30*G30</f>
        <v>0</v>
      </c>
      <c r="K30" s="20"/>
      <c r="L30" s="20">
        <f t="shared" ref="L30:L81" si="7">F30*I30</f>
        <v>0</v>
      </c>
      <c r="M30" s="129"/>
      <c r="N30" s="130"/>
      <c r="Q30" s="49"/>
    </row>
    <row r="31" spans="1:17" ht="13.5" customHeight="1" outlineLevel="2" x14ac:dyDescent="0.25">
      <c r="A31" s="147"/>
      <c r="B31" s="14"/>
      <c r="C31" s="19" t="s">
        <v>69</v>
      </c>
      <c r="D31" s="21" t="s">
        <v>75</v>
      </c>
      <c r="E31" s="13" t="s">
        <v>55</v>
      </c>
      <c r="F31" s="13"/>
      <c r="G31" s="20">
        <v>255000</v>
      </c>
      <c r="H31" s="20"/>
      <c r="I31" s="20">
        <f t="shared" si="5"/>
        <v>3300</v>
      </c>
      <c r="J31" s="20">
        <f t="shared" si="6"/>
        <v>0</v>
      </c>
      <c r="K31" s="20"/>
      <c r="L31" s="20">
        <f t="shared" si="7"/>
        <v>0</v>
      </c>
      <c r="M31" s="129"/>
      <c r="N31" s="130"/>
      <c r="Q31" s="49"/>
    </row>
    <row r="32" spans="1:17" ht="13.5" customHeight="1" outlineLevel="2" x14ac:dyDescent="0.25">
      <c r="A32" s="147"/>
      <c r="B32" s="14"/>
      <c r="C32" s="19" t="s">
        <v>69</v>
      </c>
      <c r="D32" s="21" t="s">
        <v>76</v>
      </c>
      <c r="E32" s="13" t="s">
        <v>55</v>
      </c>
      <c r="F32" s="13"/>
      <c r="G32" s="20">
        <v>275000</v>
      </c>
      <c r="H32" s="20"/>
      <c r="I32" s="20">
        <f t="shared" si="5"/>
        <v>3300</v>
      </c>
      <c r="J32" s="20">
        <f t="shared" si="6"/>
        <v>0</v>
      </c>
      <c r="K32" s="20"/>
      <c r="L32" s="20">
        <f t="shared" si="7"/>
        <v>0</v>
      </c>
      <c r="M32" s="129"/>
      <c r="N32" s="130"/>
      <c r="Q32" s="49"/>
    </row>
    <row r="33" spans="1:17" ht="13.5" customHeight="1" outlineLevel="2" x14ac:dyDescent="0.25">
      <c r="A33" s="147"/>
      <c r="B33" s="14"/>
      <c r="C33" s="19" t="s">
        <v>69</v>
      </c>
      <c r="D33" s="21" t="s">
        <v>77</v>
      </c>
      <c r="E33" s="13" t="s">
        <v>55</v>
      </c>
      <c r="F33" s="13"/>
      <c r="G33" s="20">
        <v>305000</v>
      </c>
      <c r="H33" s="20"/>
      <c r="I33" s="20">
        <f t="shared" si="5"/>
        <v>3300</v>
      </c>
      <c r="J33" s="20">
        <f t="shared" si="6"/>
        <v>0</v>
      </c>
      <c r="K33" s="20"/>
      <c r="L33" s="20">
        <f t="shared" si="7"/>
        <v>0</v>
      </c>
      <c r="M33" s="129"/>
      <c r="N33" s="130"/>
      <c r="Q33" s="49"/>
    </row>
    <row r="34" spans="1:17" ht="13.5" customHeight="1" outlineLevel="2" x14ac:dyDescent="0.25">
      <c r="A34" s="147"/>
      <c r="B34" s="14"/>
      <c r="C34" s="19" t="s">
        <v>69</v>
      </c>
      <c r="D34" s="21" t="s">
        <v>78</v>
      </c>
      <c r="E34" s="13" t="s">
        <v>55</v>
      </c>
      <c r="F34" s="13"/>
      <c r="G34" s="20">
        <v>325000</v>
      </c>
      <c r="H34" s="20"/>
      <c r="I34" s="20">
        <f t="shared" si="5"/>
        <v>3300</v>
      </c>
      <c r="J34" s="20">
        <f t="shared" si="6"/>
        <v>0</v>
      </c>
      <c r="K34" s="20"/>
      <c r="L34" s="20">
        <f t="shared" si="7"/>
        <v>0</v>
      </c>
      <c r="M34" s="129"/>
      <c r="N34" s="130"/>
      <c r="Q34" s="49"/>
    </row>
    <row r="35" spans="1:17" ht="14.25" customHeight="1" outlineLevel="1" x14ac:dyDescent="0.25">
      <c r="A35" s="147"/>
      <c r="B35" s="14">
        <v>2.2999999999999998</v>
      </c>
      <c r="C35" s="19" t="s">
        <v>79</v>
      </c>
      <c r="D35" s="22"/>
      <c r="E35" s="13"/>
      <c r="F35" s="13"/>
      <c r="G35" s="20"/>
      <c r="H35" s="20"/>
      <c r="I35" s="20"/>
      <c r="J35" s="20"/>
      <c r="K35" s="20"/>
      <c r="L35" s="20"/>
      <c r="M35" s="12"/>
      <c r="N35" s="12"/>
      <c r="Q35" s="49"/>
    </row>
    <row r="36" spans="1:17" ht="14.25" customHeight="1" outlineLevel="2" x14ac:dyDescent="0.25">
      <c r="A36" s="147"/>
      <c r="B36" s="14"/>
      <c r="C36" s="19"/>
      <c r="D36" s="22" t="s">
        <v>80</v>
      </c>
      <c r="E36" s="13" t="s">
        <v>81</v>
      </c>
      <c r="F36" s="13"/>
      <c r="G36" s="20">
        <v>52000</v>
      </c>
      <c r="H36" s="20"/>
      <c r="I36" s="20">
        <f t="shared" ref="I36:I45" si="8">1000*$N$3</f>
        <v>1100</v>
      </c>
      <c r="J36" s="20">
        <f t="shared" si="6"/>
        <v>0</v>
      </c>
      <c r="K36" s="20"/>
      <c r="L36" s="20">
        <f t="shared" si="7"/>
        <v>0</v>
      </c>
      <c r="M36" s="12"/>
      <c r="N36" s="12"/>
      <c r="Q36" s="49"/>
    </row>
    <row r="37" spans="1:17" ht="14.25" customHeight="1" outlineLevel="2" x14ac:dyDescent="0.25">
      <c r="A37" s="147"/>
      <c r="B37" s="14"/>
      <c r="C37" s="19"/>
      <c r="D37" s="22" t="s">
        <v>82</v>
      </c>
      <c r="E37" s="13" t="s">
        <v>81</v>
      </c>
      <c r="F37" s="13"/>
      <c r="G37" s="20">
        <v>52000</v>
      </c>
      <c r="H37" s="20"/>
      <c r="I37" s="20">
        <f t="shared" si="8"/>
        <v>1100</v>
      </c>
      <c r="J37" s="20">
        <f t="shared" si="6"/>
        <v>0</v>
      </c>
      <c r="K37" s="20"/>
      <c r="L37" s="20">
        <f t="shared" si="7"/>
        <v>0</v>
      </c>
      <c r="M37" s="12"/>
      <c r="N37" s="12"/>
      <c r="Q37" s="49"/>
    </row>
    <row r="38" spans="1:17" ht="14.25" customHeight="1" outlineLevel="2" x14ac:dyDescent="0.25">
      <c r="A38" s="147"/>
      <c r="B38" s="14"/>
      <c r="C38" s="19"/>
      <c r="D38" s="39" t="s">
        <v>83</v>
      </c>
      <c r="E38" s="26" t="s">
        <v>81</v>
      </c>
      <c r="F38" s="13"/>
      <c r="G38" s="28">
        <v>30340</v>
      </c>
      <c r="H38" s="28"/>
      <c r="I38" s="20">
        <f t="shared" si="8"/>
        <v>1100</v>
      </c>
      <c r="J38" s="20">
        <f t="shared" si="6"/>
        <v>0</v>
      </c>
      <c r="K38" s="20"/>
      <c r="L38" s="20">
        <f t="shared" si="7"/>
        <v>0</v>
      </c>
      <c r="M38" s="12"/>
      <c r="N38" s="12"/>
      <c r="Q38" s="49"/>
    </row>
    <row r="39" spans="1:17" ht="14.25" customHeight="1" outlineLevel="2" x14ac:dyDescent="0.25">
      <c r="A39" s="147"/>
      <c r="B39" s="14"/>
      <c r="C39" s="19"/>
      <c r="D39" s="39" t="s">
        <v>84</v>
      </c>
      <c r="E39" s="26" t="s">
        <v>81</v>
      </c>
      <c r="F39" s="13"/>
      <c r="G39" s="28">
        <v>25000</v>
      </c>
      <c r="H39" s="28"/>
      <c r="I39" s="20">
        <f t="shared" si="8"/>
        <v>1100</v>
      </c>
      <c r="J39" s="20">
        <f t="shared" si="6"/>
        <v>0</v>
      </c>
      <c r="K39" s="20"/>
      <c r="L39" s="20">
        <f t="shared" si="7"/>
        <v>0</v>
      </c>
      <c r="M39" s="12"/>
      <c r="N39" s="12"/>
      <c r="Q39" s="49"/>
    </row>
    <row r="40" spans="1:17" ht="14.25" customHeight="1" outlineLevel="2" x14ac:dyDescent="0.25">
      <c r="A40" s="147"/>
      <c r="B40" s="14"/>
      <c r="C40" s="19"/>
      <c r="D40" s="39" t="s">
        <v>85</v>
      </c>
      <c r="E40" s="26" t="s">
        <v>81</v>
      </c>
      <c r="F40" s="13"/>
      <c r="G40" s="28">
        <v>50800</v>
      </c>
      <c r="H40" s="28"/>
      <c r="I40" s="20">
        <f t="shared" si="8"/>
        <v>1100</v>
      </c>
      <c r="J40" s="20">
        <f t="shared" si="6"/>
        <v>0</v>
      </c>
      <c r="K40" s="20"/>
      <c r="L40" s="20">
        <f t="shared" si="7"/>
        <v>0</v>
      </c>
      <c r="M40" s="12"/>
      <c r="N40" s="12"/>
      <c r="Q40" s="49"/>
    </row>
    <row r="41" spans="1:17" ht="14.25" customHeight="1" outlineLevel="2" x14ac:dyDescent="0.25">
      <c r="A41" s="147"/>
      <c r="B41" s="14"/>
      <c r="C41" s="19"/>
      <c r="D41" s="39" t="s">
        <v>86</v>
      </c>
      <c r="E41" s="26" t="s">
        <v>81</v>
      </c>
      <c r="F41" s="13"/>
      <c r="G41" s="28">
        <v>52000</v>
      </c>
      <c r="H41" s="28"/>
      <c r="I41" s="20">
        <f t="shared" si="8"/>
        <v>1100</v>
      </c>
      <c r="J41" s="20">
        <f t="shared" si="6"/>
        <v>0</v>
      </c>
      <c r="K41" s="20"/>
      <c r="L41" s="20">
        <f t="shared" si="7"/>
        <v>0</v>
      </c>
      <c r="M41" s="12"/>
      <c r="N41" s="12"/>
      <c r="Q41" s="49"/>
    </row>
    <row r="42" spans="1:17" ht="14.25" customHeight="1" outlineLevel="2" x14ac:dyDescent="0.25">
      <c r="A42" s="147"/>
      <c r="B42" s="14"/>
      <c r="C42" s="19"/>
      <c r="D42" s="39" t="s">
        <v>87</v>
      </c>
      <c r="E42" s="26" t="s">
        <v>81</v>
      </c>
      <c r="F42" s="13"/>
      <c r="G42" s="28">
        <v>40000</v>
      </c>
      <c r="H42" s="28"/>
      <c r="I42" s="20">
        <f t="shared" si="8"/>
        <v>1100</v>
      </c>
      <c r="J42" s="20">
        <f t="shared" si="6"/>
        <v>0</v>
      </c>
      <c r="K42" s="20"/>
      <c r="L42" s="20">
        <f t="shared" si="7"/>
        <v>0</v>
      </c>
      <c r="M42" s="12"/>
      <c r="N42" s="12"/>
      <c r="Q42" s="49"/>
    </row>
    <row r="43" spans="1:17" ht="14.25" customHeight="1" outlineLevel="2" x14ac:dyDescent="0.25">
      <c r="A43" s="147"/>
      <c r="B43" s="14"/>
      <c r="C43" s="19"/>
      <c r="D43" s="22" t="s">
        <v>88</v>
      </c>
      <c r="E43" s="13" t="s">
        <v>81</v>
      </c>
      <c r="F43" s="13"/>
      <c r="G43" s="20">
        <v>18000</v>
      </c>
      <c r="H43" s="20"/>
      <c r="I43" s="20">
        <f t="shared" si="8"/>
        <v>1100</v>
      </c>
      <c r="J43" s="20">
        <f t="shared" si="6"/>
        <v>0</v>
      </c>
      <c r="K43" s="20"/>
      <c r="L43" s="20">
        <f t="shared" si="7"/>
        <v>0</v>
      </c>
      <c r="M43" s="12"/>
      <c r="N43" s="12"/>
      <c r="Q43" s="49"/>
    </row>
    <row r="44" spans="1:17" ht="14.25" customHeight="1" outlineLevel="2" x14ac:dyDescent="0.25">
      <c r="A44" s="147"/>
      <c r="B44" s="14"/>
      <c r="C44" s="19"/>
      <c r="D44" s="22" t="s">
        <v>89</v>
      </c>
      <c r="E44" s="13" t="s">
        <v>81</v>
      </c>
      <c r="F44" s="13"/>
      <c r="G44" s="20">
        <v>20000</v>
      </c>
      <c r="H44" s="20"/>
      <c r="I44" s="20">
        <f t="shared" si="8"/>
        <v>1100</v>
      </c>
      <c r="J44" s="20">
        <f t="shared" si="6"/>
        <v>0</v>
      </c>
      <c r="K44" s="20"/>
      <c r="L44" s="20">
        <f t="shared" si="7"/>
        <v>0</v>
      </c>
      <c r="M44" s="12"/>
      <c r="N44" s="12"/>
      <c r="Q44" s="49"/>
    </row>
    <row r="45" spans="1:17" ht="14.25" customHeight="1" outlineLevel="2" x14ac:dyDescent="0.25">
      <c r="A45" s="147"/>
      <c r="B45" s="14"/>
      <c r="C45" s="19"/>
      <c r="D45" s="22" t="s">
        <v>90</v>
      </c>
      <c r="E45" s="13" t="s">
        <v>81</v>
      </c>
      <c r="F45" s="13"/>
      <c r="G45" s="20">
        <v>30000</v>
      </c>
      <c r="H45" s="20"/>
      <c r="I45" s="20">
        <f t="shared" si="8"/>
        <v>1100</v>
      </c>
      <c r="J45" s="20">
        <f t="shared" si="6"/>
        <v>0</v>
      </c>
      <c r="K45" s="20"/>
      <c r="L45" s="20">
        <f t="shared" si="7"/>
        <v>0</v>
      </c>
      <c r="M45" s="12"/>
      <c r="N45" s="12"/>
      <c r="Q45" s="49"/>
    </row>
    <row r="46" spans="1:17" ht="14.25" customHeight="1" outlineLevel="1" x14ac:dyDescent="0.25">
      <c r="A46" s="147"/>
      <c r="B46" s="14">
        <v>2.4</v>
      </c>
      <c r="C46" s="19" t="s">
        <v>91</v>
      </c>
      <c r="D46" s="22"/>
      <c r="E46" s="13"/>
      <c r="F46" s="13"/>
      <c r="G46" s="20"/>
      <c r="H46" s="20"/>
      <c r="I46" s="20"/>
      <c r="J46" s="20"/>
      <c r="K46" s="20"/>
      <c r="L46" s="20"/>
      <c r="M46" s="12"/>
      <c r="N46" s="12"/>
      <c r="Q46" s="49"/>
    </row>
    <row r="47" spans="1:17" ht="12" outlineLevel="2" x14ac:dyDescent="0.25">
      <c r="A47" s="147"/>
      <c r="B47" s="14"/>
      <c r="C47" s="19" t="s">
        <v>92</v>
      </c>
      <c r="D47" s="22" t="s">
        <v>93</v>
      </c>
      <c r="E47" s="13" t="s">
        <v>55</v>
      </c>
      <c r="F47" s="13"/>
      <c r="G47" s="20">
        <v>180000</v>
      </c>
      <c r="H47" s="20"/>
      <c r="I47" s="20">
        <f>2000*$N$3</f>
        <v>2200</v>
      </c>
      <c r="J47" s="20">
        <f t="shared" si="6"/>
        <v>0</v>
      </c>
      <c r="K47" s="20"/>
      <c r="L47" s="20">
        <f t="shared" si="7"/>
        <v>0</v>
      </c>
      <c r="M47" s="12"/>
      <c r="N47" s="12"/>
      <c r="Q47" s="49"/>
    </row>
    <row r="48" spans="1:17" ht="12" outlineLevel="2" x14ac:dyDescent="0.25">
      <c r="A48" s="147"/>
      <c r="B48" s="14"/>
      <c r="C48" s="19" t="s">
        <v>92</v>
      </c>
      <c r="D48" s="22" t="s">
        <v>94</v>
      </c>
      <c r="E48" s="13" t="s">
        <v>55</v>
      </c>
      <c r="F48" s="13"/>
      <c r="G48" s="20">
        <v>208000</v>
      </c>
      <c r="H48" s="20"/>
      <c r="I48" s="20">
        <f>2000*$N$3</f>
        <v>2200</v>
      </c>
      <c r="J48" s="20">
        <f t="shared" si="6"/>
        <v>0</v>
      </c>
      <c r="K48" s="20"/>
      <c r="L48" s="20">
        <f t="shared" si="7"/>
        <v>0</v>
      </c>
      <c r="M48" s="12"/>
      <c r="N48" s="12"/>
      <c r="Q48" s="49"/>
    </row>
    <row r="49" spans="1:17" ht="12" outlineLevel="2" x14ac:dyDescent="0.25">
      <c r="A49" s="147"/>
      <c r="B49" s="14"/>
      <c r="C49" s="19" t="s">
        <v>92</v>
      </c>
      <c r="D49" s="22" t="s">
        <v>95</v>
      </c>
      <c r="E49" s="13" t="s">
        <v>55</v>
      </c>
      <c r="F49" s="13"/>
      <c r="G49" s="20">
        <v>213000</v>
      </c>
      <c r="H49" s="20"/>
      <c r="I49" s="20">
        <f>2000*$N$3</f>
        <v>2200</v>
      </c>
      <c r="J49" s="20">
        <f t="shared" si="6"/>
        <v>0</v>
      </c>
      <c r="K49" s="20"/>
      <c r="L49" s="20">
        <f t="shared" si="7"/>
        <v>0</v>
      </c>
      <c r="M49" s="12"/>
      <c r="N49" s="12"/>
      <c r="Q49" s="49"/>
    </row>
    <row r="50" spans="1:17" ht="12" outlineLevel="2" x14ac:dyDescent="0.25">
      <c r="A50" s="147"/>
      <c r="B50" s="14"/>
      <c r="C50" s="19" t="s">
        <v>92</v>
      </c>
      <c r="D50" s="22" t="s">
        <v>96</v>
      </c>
      <c r="E50" s="13" t="s">
        <v>55</v>
      </c>
      <c r="F50" s="13"/>
      <c r="G50" s="20">
        <v>220000</v>
      </c>
      <c r="H50" s="20"/>
      <c r="I50" s="20">
        <f>2000*$N$3</f>
        <v>2200</v>
      </c>
      <c r="J50" s="20">
        <f t="shared" si="6"/>
        <v>0</v>
      </c>
      <c r="K50" s="20"/>
      <c r="L50" s="20">
        <f t="shared" si="7"/>
        <v>0</v>
      </c>
      <c r="M50" s="12"/>
      <c r="N50" s="12"/>
      <c r="Q50" s="49"/>
    </row>
    <row r="51" spans="1:17" ht="12" outlineLevel="2" x14ac:dyDescent="0.25">
      <c r="A51" s="147"/>
      <c r="B51" s="14"/>
      <c r="C51" s="29" t="s">
        <v>97</v>
      </c>
      <c r="D51" s="39" t="s">
        <v>98</v>
      </c>
      <c r="E51" s="26" t="s">
        <v>55</v>
      </c>
      <c r="F51" s="26"/>
      <c r="G51" s="28">
        <v>30000</v>
      </c>
      <c r="H51" s="28"/>
      <c r="I51" s="20">
        <f>1000*$N$3</f>
        <v>1100</v>
      </c>
      <c r="J51" s="20">
        <f t="shared" si="6"/>
        <v>0</v>
      </c>
      <c r="K51" s="20"/>
      <c r="L51" s="20">
        <f t="shared" si="7"/>
        <v>0</v>
      </c>
      <c r="M51" s="12"/>
      <c r="N51" s="12"/>
      <c r="Q51" s="49"/>
    </row>
    <row r="52" spans="1:17" ht="12" outlineLevel="2" x14ac:dyDescent="0.25">
      <c r="A52" s="147"/>
      <c r="B52" s="14"/>
      <c r="C52" s="29" t="s">
        <v>99</v>
      </c>
      <c r="D52" s="39" t="s">
        <v>100</v>
      </c>
      <c r="E52" s="26" t="s">
        <v>101</v>
      </c>
      <c r="F52" s="26"/>
      <c r="G52" s="28">
        <v>700</v>
      </c>
      <c r="H52" s="28"/>
      <c r="I52" s="20">
        <f>2000*$N$3</f>
        <v>2200</v>
      </c>
      <c r="J52" s="20">
        <f t="shared" si="6"/>
        <v>0</v>
      </c>
      <c r="K52" s="20"/>
      <c r="L52" s="20">
        <f t="shared" si="7"/>
        <v>0</v>
      </c>
      <c r="M52" s="12"/>
      <c r="N52" s="12"/>
      <c r="Q52" s="49"/>
    </row>
    <row r="53" spans="1:17" ht="14.25" customHeight="1" outlineLevel="1" x14ac:dyDescent="0.25">
      <c r="A53" s="147"/>
      <c r="B53" s="14">
        <v>2.5</v>
      </c>
      <c r="C53" s="30" t="s">
        <v>102</v>
      </c>
      <c r="D53" s="30"/>
      <c r="E53" s="13"/>
      <c r="F53" s="30"/>
      <c r="G53" s="20"/>
      <c r="H53" s="20"/>
      <c r="I53" s="20"/>
      <c r="J53" s="20"/>
      <c r="K53" s="20"/>
      <c r="L53" s="20"/>
      <c r="M53" s="12"/>
      <c r="N53" s="12"/>
      <c r="Q53" s="49"/>
    </row>
    <row r="54" spans="1:17" ht="14.25" customHeight="1" outlineLevel="2" x14ac:dyDescent="0.25">
      <c r="A54" s="147"/>
      <c r="B54" s="14"/>
      <c r="C54" s="40" t="s">
        <v>103</v>
      </c>
      <c r="D54" s="40" t="s">
        <v>104</v>
      </c>
      <c r="E54" s="26" t="s">
        <v>55</v>
      </c>
      <c r="F54" s="26"/>
      <c r="G54" s="28">
        <v>20000</v>
      </c>
      <c r="H54" s="28"/>
      <c r="I54" s="28">
        <f>2000*$N$3</f>
        <v>2200</v>
      </c>
      <c r="J54" s="20">
        <f t="shared" si="6"/>
        <v>0</v>
      </c>
      <c r="K54" s="20"/>
      <c r="L54" s="20">
        <f t="shared" si="7"/>
        <v>0</v>
      </c>
      <c r="M54" s="12"/>
      <c r="N54" s="12"/>
      <c r="Q54" s="49"/>
    </row>
    <row r="55" spans="1:17" ht="14.25" customHeight="1" outlineLevel="2" x14ac:dyDescent="0.25">
      <c r="A55" s="147"/>
      <c r="B55" s="14"/>
      <c r="C55" s="19" t="s">
        <v>105</v>
      </c>
      <c r="D55" s="22" t="s">
        <v>106</v>
      </c>
      <c r="E55" s="13" t="s">
        <v>81</v>
      </c>
      <c r="F55" s="13"/>
      <c r="G55" s="20">
        <v>20000</v>
      </c>
      <c r="H55" s="20"/>
      <c r="I55" s="20">
        <f>1000*$N$3</f>
        <v>1100</v>
      </c>
      <c r="J55" s="20">
        <f t="shared" si="6"/>
        <v>0</v>
      </c>
      <c r="K55" s="20"/>
      <c r="L55" s="20">
        <f t="shared" si="7"/>
        <v>0</v>
      </c>
      <c r="M55" s="12"/>
      <c r="N55" s="12"/>
      <c r="Q55" s="49"/>
    </row>
    <row r="56" spans="1:17" ht="14.25" customHeight="1" outlineLevel="1" x14ac:dyDescent="0.25">
      <c r="A56" s="147"/>
      <c r="B56" s="14">
        <v>2.6</v>
      </c>
      <c r="C56" s="19" t="s">
        <v>107</v>
      </c>
      <c r="D56" s="22"/>
      <c r="E56" s="13"/>
      <c r="F56" s="13"/>
      <c r="G56" s="20"/>
      <c r="H56" s="20"/>
      <c r="I56" s="20"/>
      <c r="J56" s="20"/>
      <c r="K56" s="20"/>
      <c r="L56" s="20"/>
      <c r="M56" s="12"/>
      <c r="N56" s="12"/>
      <c r="Q56" s="49"/>
    </row>
    <row r="57" spans="1:17" ht="14.25" customHeight="1" outlineLevel="2" x14ac:dyDescent="0.25">
      <c r="A57" s="147"/>
      <c r="B57" s="40"/>
      <c r="C57" s="19" t="s">
        <v>108</v>
      </c>
      <c r="D57" s="19" t="s">
        <v>109</v>
      </c>
      <c r="E57" s="13" t="s">
        <v>55</v>
      </c>
      <c r="F57" s="13"/>
      <c r="G57" s="20">
        <f>6.5*3.5*3000</f>
        <v>68250</v>
      </c>
      <c r="H57" s="20"/>
      <c r="I57" s="20">
        <f>5000*$N$3</f>
        <v>5500</v>
      </c>
      <c r="J57" s="20">
        <f t="shared" si="6"/>
        <v>0</v>
      </c>
      <c r="K57" s="20"/>
      <c r="L57" s="20">
        <f t="shared" si="7"/>
        <v>0</v>
      </c>
      <c r="M57" s="12"/>
      <c r="N57" s="12"/>
      <c r="Q57" s="49"/>
    </row>
    <row r="58" spans="1:17" ht="14.25" customHeight="1" outlineLevel="2" x14ac:dyDescent="0.25">
      <c r="A58" s="147"/>
      <c r="B58" s="19"/>
      <c r="C58" s="19" t="s">
        <v>110</v>
      </c>
      <c r="D58" s="19" t="s">
        <v>111</v>
      </c>
      <c r="E58" s="13" t="s">
        <v>55</v>
      </c>
      <c r="F58" s="13"/>
      <c r="G58" s="20">
        <f>6*3.5*3000</f>
        <v>63000</v>
      </c>
      <c r="H58" s="20"/>
      <c r="I58" s="20">
        <f>5000*$N$3</f>
        <v>5500</v>
      </c>
      <c r="J58" s="20">
        <f t="shared" si="6"/>
        <v>0</v>
      </c>
      <c r="K58" s="20"/>
      <c r="L58" s="20">
        <f t="shared" si="7"/>
        <v>0</v>
      </c>
      <c r="M58" s="12"/>
      <c r="N58" s="12"/>
      <c r="Q58" s="49"/>
    </row>
    <row r="59" spans="1:17" ht="14.25" customHeight="1" outlineLevel="2" x14ac:dyDescent="0.25">
      <c r="A59" s="147"/>
      <c r="B59" s="40"/>
      <c r="C59" s="19" t="s">
        <v>112</v>
      </c>
      <c r="D59" s="19" t="s">
        <v>113</v>
      </c>
      <c r="E59" s="26" t="s">
        <v>55</v>
      </c>
      <c r="F59" s="26"/>
      <c r="G59" s="28">
        <f>9.5*3.5*3000</f>
        <v>99750</v>
      </c>
      <c r="H59" s="28"/>
      <c r="I59" s="20">
        <f>10000*$N$3</f>
        <v>11000</v>
      </c>
      <c r="J59" s="20">
        <f t="shared" si="6"/>
        <v>0</v>
      </c>
      <c r="K59" s="20"/>
      <c r="L59" s="20">
        <f t="shared" si="7"/>
        <v>0</v>
      </c>
      <c r="M59" s="12"/>
      <c r="N59" s="12"/>
      <c r="Q59" s="49"/>
    </row>
    <row r="60" spans="1:17" ht="14.55" customHeight="1" x14ac:dyDescent="0.25">
      <c r="A60" s="147"/>
      <c r="B60" s="17">
        <v>3</v>
      </c>
      <c r="C60" s="18" t="s">
        <v>114</v>
      </c>
      <c r="D60" s="48"/>
      <c r="E60" s="48"/>
      <c r="F60" s="48"/>
      <c r="G60" s="20"/>
      <c r="H60" s="20"/>
      <c r="I60" s="20"/>
      <c r="J60" s="20"/>
      <c r="K60" s="20"/>
      <c r="L60" s="20"/>
      <c r="M60" s="12"/>
      <c r="N60" s="12"/>
      <c r="Q60" s="49"/>
    </row>
    <row r="61" spans="1:17" ht="14.55" customHeight="1" outlineLevel="1" x14ac:dyDescent="0.25">
      <c r="A61" s="147"/>
      <c r="B61" s="14">
        <v>3.1</v>
      </c>
      <c r="C61" s="21" t="s">
        <v>115</v>
      </c>
      <c r="D61" s="21"/>
      <c r="E61" s="14"/>
      <c r="F61" s="13"/>
      <c r="G61" s="20"/>
      <c r="H61" s="20"/>
      <c r="I61" s="20"/>
      <c r="J61" s="20"/>
      <c r="K61" s="20"/>
      <c r="L61" s="20"/>
      <c r="M61" s="12"/>
      <c r="N61" s="12"/>
      <c r="Q61" s="49"/>
    </row>
    <row r="62" spans="1:17" ht="13.95" customHeight="1" outlineLevel="2" x14ac:dyDescent="0.25">
      <c r="A62" s="147"/>
      <c r="B62" s="14"/>
      <c r="C62" s="25" t="s">
        <v>116</v>
      </c>
      <c r="D62" s="25"/>
      <c r="E62" s="14" t="s">
        <v>50</v>
      </c>
      <c r="F62" s="13"/>
      <c r="G62" s="20">
        <v>55000</v>
      </c>
      <c r="H62" s="20"/>
      <c r="I62" s="20">
        <f t="shared" ref="I62:I72" si="9">1000*$N$3</f>
        <v>1100</v>
      </c>
      <c r="J62" s="20">
        <f t="shared" si="6"/>
        <v>0</v>
      </c>
      <c r="K62" s="20"/>
      <c r="L62" s="20">
        <f t="shared" si="7"/>
        <v>0</v>
      </c>
      <c r="M62" s="12"/>
      <c r="N62" s="12"/>
      <c r="Q62" s="49"/>
    </row>
    <row r="63" spans="1:17" ht="13.95" customHeight="1" outlineLevel="2" x14ac:dyDescent="0.25">
      <c r="A63" s="147"/>
      <c r="B63" s="14"/>
      <c r="C63" s="25" t="s">
        <v>117</v>
      </c>
      <c r="D63" s="25" t="s">
        <v>118</v>
      </c>
      <c r="E63" s="14" t="s">
        <v>50</v>
      </c>
      <c r="F63" s="13"/>
      <c r="G63" s="20">
        <v>45000</v>
      </c>
      <c r="H63" s="20"/>
      <c r="I63" s="20">
        <f t="shared" si="9"/>
        <v>1100</v>
      </c>
      <c r="J63" s="20">
        <f t="shared" si="6"/>
        <v>0</v>
      </c>
      <c r="K63" s="20"/>
      <c r="L63" s="20">
        <f t="shared" si="7"/>
        <v>0</v>
      </c>
      <c r="M63" s="12"/>
      <c r="N63" s="12"/>
      <c r="Q63" s="49"/>
    </row>
    <row r="64" spans="1:17" ht="13.95" customHeight="1" outlineLevel="2" x14ac:dyDescent="0.25">
      <c r="A64" s="147"/>
      <c r="B64" s="14"/>
      <c r="C64" s="25" t="s">
        <v>119</v>
      </c>
      <c r="D64" s="25" t="s">
        <v>120</v>
      </c>
      <c r="E64" s="14" t="s">
        <v>50</v>
      </c>
      <c r="F64" s="13"/>
      <c r="G64" s="20">
        <v>55800</v>
      </c>
      <c r="H64" s="20"/>
      <c r="I64" s="20">
        <f t="shared" si="9"/>
        <v>1100</v>
      </c>
      <c r="J64" s="20">
        <f t="shared" si="6"/>
        <v>0</v>
      </c>
      <c r="K64" s="20"/>
      <c r="L64" s="20">
        <f t="shared" si="7"/>
        <v>0</v>
      </c>
      <c r="M64" s="12"/>
      <c r="N64" s="12"/>
      <c r="Q64" s="49"/>
    </row>
    <row r="65" spans="1:17" ht="13.95" customHeight="1" outlineLevel="2" x14ac:dyDescent="0.25">
      <c r="A65" s="147"/>
      <c r="B65" s="14"/>
      <c r="C65" s="25" t="s">
        <v>121</v>
      </c>
      <c r="D65" s="25"/>
      <c r="E65" s="14" t="s">
        <v>81</v>
      </c>
      <c r="F65" s="13"/>
      <c r="G65" s="20">
        <v>89000</v>
      </c>
      <c r="H65" s="20"/>
      <c r="I65" s="20">
        <f t="shared" si="9"/>
        <v>1100</v>
      </c>
      <c r="J65" s="20">
        <f t="shared" si="6"/>
        <v>0</v>
      </c>
      <c r="K65" s="20"/>
      <c r="L65" s="20">
        <f t="shared" si="7"/>
        <v>0</v>
      </c>
      <c r="M65" s="12"/>
      <c r="N65" s="12"/>
      <c r="Q65" s="49"/>
    </row>
    <row r="66" spans="1:17" ht="13.95" customHeight="1" outlineLevel="2" x14ac:dyDescent="0.25">
      <c r="A66" s="147"/>
      <c r="B66" s="14"/>
      <c r="C66" s="25" t="s">
        <v>122</v>
      </c>
      <c r="D66" s="25"/>
      <c r="E66" s="14" t="s">
        <v>50</v>
      </c>
      <c r="F66" s="13"/>
      <c r="G66" s="20">
        <v>15000</v>
      </c>
      <c r="H66" s="20"/>
      <c r="I66" s="20">
        <f t="shared" si="9"/>
        <v>1100</v>
      </c>
      <c r="J66" s="20">
        <f t="shared" si="6"/>
        <v>0</v>
      </c>
      <c r="K66" s="20"/>
      <c r="L66" s="20">
        <f t="shared" si="7"/>
        <v>0</v>
      </c>
      <c r="M66" s="12"/>
      <c r="N66" s="12"/>
      <c r="Q66" s="49"/>
    </row>
    <row r="67" spans="1:17" ht="13.95" customHeight="1" outlineLevel="2" x14ac:dyDescent="0.25">
      <c r="A67" s="147"/>
      <c r="B67" s="14"/>
      <c r="C67" s="25" t="s">
        <v>123</v>
      </c>
      <c r="D67" s="25"/>
      <c r="E67" s="14" t="s">
        <v>50</v>
      </c>
      <c r="F67" s="13"/>
      <c r="G67" s="20">
        <v>115000</v>
      </c>
      <c r="H67" s="20"/>
      <c r="I67" s="20">
        <f t="shared" si="9"/>
        <v>1100</v>
      </c>
      <c r="J67" s="20">
        <f t="shared" si="6"/>
        <v>0</v>
      </c>
      <c r="K67" s="20"/>
      <c r="L67" s="20">
        <f t="shared" si="7"/>
        <v>0</v>
      </c>
      <c r="M67" s="12"/>
      <c r="N67" s="12"/>
      <c r="Q67" s="49"/>
    </row>
    <row r="68" spans="1:17" ht="13.95" customHeight="1" outlineLevel="2" x14ac:dyDescent="0.25">
      <c r="A68" s="147"/>
      <c r="B68" s="14"/>
      <c r="C68" s="25" t="s">
        <v>124</v>
      </c>
      <c r="D68" s="41" t="s">
        <v>125</v>
      </c>
      <c r="E68" s="14" t="s">
        <v>50</v>
      </c>
      <c r="F68" s="13"/>
      <c r="G68" s="20">
        <v>50000</v>
      </c>
      <c r="H68" s="20"/>
      <c r="I68" s="20">
        <f t="shared" si="9"/>
        <v>1100</v>
      </c>
      <c r="J68" s="20">
        <f t="shared" si="6"/>
        <v>0</v>
      </c>
      <c r="K68" s="20"/>
      <c r="L68" s="20">
        <f t="shared" si="7"/>
        <v>0</v>
      </c>
      <c r="M68" s="12"/>
      <c r="N68" s="12"/>
      <c r="Q68" s="49"/>
    </row>
    <row r="69" spans="1:17" ht="13.95" customHeight="1" outlineLevel="2" x14ac:dyDescent="0.25">
      <c r="A69" s="147"/>
      <c r="B69" s="14"/>
      <c r="C69" s="50" t="s">
        <v>124</v>
      </c>
      <c r="D69" s="51" t="s">
        <v>126</v>
      </c>
      <c r="E69" s="52" t="s">
        <v>50</v>
      </c>
      <c r="F69" s="13"/>
      <c r="G69" s="53">
        <v>50000</v>
      </c>
      <c r="H69" s="53"/>
      <c r="I69" s="20">
        <f t="shared" si="9"/>
        <v>1100</v>
      </c>
      <c r="J69" s="53">
        <f t="shared" si="6"/>
        <v>0</v>
      </c>
      <c r="K69" s="53"/>
      <c r="L69" s="53">
        <f t="shared" si="7"/>
        <v>0</v>
      </c>
      <c r="M69" s="12"/>
      <c r="N69" s="12"/>
      <c r="Q69" s="49"/>
    </row>
    <row r="70" spans="1:17" ht="13.95" customHeight="1" outlineLevel="2" x14ac:dyDescent="0.25">
      <c r="A70" s="147"/>
      <c r="B70" s="14"/>
      <c r="C70" s="25" t="s">
        <v>127</v>
      </c>
      <c r="D70" s="25" t="s">
        <v>128</v>
      </c>
      <c r="E70" s="14" t="s">
        <v>50</v>
      </c>
      <c r="F70" s="13"/>
      <c r="G70" s="20">
        <v>7000</v>
      </c>
      <c r="H70" s="20"/>
      <c r="I70" s="20">
        <f t="shared" si="9"/>
        <v>1100</v>
      </c>
      <c r="J70" s="20">
        <f t="shared" si="6"/>
        <v>0</v>
      </c>
      <c r="K70" s="20"/>
      <c r="L70" s="20">
        <f t="shared" si="7"/>
        <v>0</v>
      </c>
      <c r="M70" s="12"/>
      <c r="N70" s="12"/>
      <c r="Q70" s="49"/>
    </row>
    <row r="71" spans="1:17" ht="13.95" customHeight="1" outlineLevel="2" x14ac:dyDescent="0.25">
      <c r="A71" s="147"/>
      <c r="B71" s="54"/>
      <c r="C71" s="25" t="s">
        <v>129</v>
      </c>
      <c r="D71" s="25" t="s">
        <v>128</v>
      </c>
      <c r="E71" s="14" t="s">
        <v>50</v>
      </c>
      <c r="F71" s="13"/>
      <c r="G71" s="28">
        <v>15000</v>
      </c>
      <c r="H71" s="28"/>
      <c r="I71" s="20">
        <f t="shared" si="9"/>
        <v>1100</v>
      </c>
      <c r="J71" s="20">
        <f t="shared" si="6"/>
        <v>0</v>
      </c>
      <c r="K71" s="20"/>
      <c r="L71" s="20">
        <f t="shared" si="7"/>
        <v>0</v>
      </c>
      <c r="M71" s="12"/>
      <c r="N71" s="12"/>
      <c r="Q71" s="49"/>
    </row>
    <row r="72" spans="1:17" ht="13.95" customHeight="1" outlineLevel="2" x14ac:dyDescent="0.25">
      <c r="A72" s="147"/>
      <c r="B72" s="54"/>
      <c r="C72" s="25" t="s">
        <v>130</v>
      </c>
      <c r="D72" s="25"/>
      <c r="E72" s="14" t="s">
        <v>50</v>
      </c>
      <c r="F72" s="13"/>
      <c r="G72" s="28">
        <v>20000</v>
      </c>
      <c r="H72" s="28"/>
      <c r="I72" s="20">
        <f t="shared" si="9"/>
        <v>1100</v>
      </c>
      <c r="J72" s="20">
        <f t="shared" si="6"/>
        <v>0</v>
      </c>
      <c r="K72" s="20"/>
      <c r="L72" s="20">
        <f t="shared" si="7"/>
        <v>0</v>
      </c>
      <c r="M72" s="12"/>
      <c r="N72" s="12"/>
      <c r="Q72" s="49"/>
    </row>
    <row r="73" spans="1:17" ht="13.95" customHeight="1" outlineLevel="2" x14ac:dyDescent="0.25">
      <c r="A73" s="147"/>
      <c r="B73" s="54"/>
      <c r="C73" s="25" t="s">
        <v>131</v>
      </c>
      <c r="D73" s="25"/>
      <c r="E73" s="14" t="s">
        <v>50</v>
      </c>
      <c r="F73" s="13"/>
      <c r="G73" s="20">
        <v>8000</v>
      </c>
      <c r="H73" s="20"/>
      <c r="I73" s="20">
        <f>300*$N$3</f>
        <v>330</v>
      </c>
      <c r="J73" s="20">
        <f t="shared" si="6"/>
        <v>0</v>
      </c>
      <c r="K73" s="20"/>
      <c r="L73" s="20">
        <f t="shared" si="7"/>
        <v>0</v>
      </c>
      <c r="M73" s="12"/>
      <c r="N73" s="12"/>
      <c r="Q73" s="49"/>
    </row>
    <row r="74" spans="1:17" ht="13.95" customHeight="1" outlineLevel="2" x14ac:dyDescent="0.25">
      <c r="A74" s="147"/>
      <c r="B74" s="54"/>
      <c r="C74" s="25" t="s">
        <v>132</v>
      </c>
      <c r="D74" s="25" t="s">
        <v>133</v>
      </c>
      <c r="E74" s="14" t="s">
        <v>50</v>
      </c>
      <c r="F74" s="13">
        <v>1</v>
      </c>
      <c r="G74" s="20">
        <v>2300</v>
      </c>
      <c r="H74" s="20"/>
      <c r="I74" s="20">
        <f>100*$N$3</f>
        <v>110</v>
      </c>
      <c r="J74" s="20">
        <f t="shared" si="6"/>
        <v>2300</v>
      </c>
      <c r="K74" s="20"/>
      <c r="L74" s="20">
        <f t="shared" si="7"/>
        <v>110</v>
      </c>
      <c r="M74" s="12"/>
      <c r="N74" s="12"/>
      <c r="Q74" s="49"/>
    </row>
    <row r="75" spans="1:17" ht="13.95" customHeight="1" outlineLevel="2" x14ac:dyDescent="0.25">
      <c r="A75" s="147"/>
      <c r="B75" s="54"/>
      <c r="C75" s="25" t="s">
        <v>134</v>
      </c>
      <c r="D75" s="25" t="s">
        <v>135</v>
      </c>
      <c r="E75" s="14" t="s">
        <v>55</v>
      </c>
      <c r="F75" s="13"/>
      <c r="G75" s="20">
        <v>1300</v>
      </c>
      <c r="H75" s="20"/>
      <c r="I75" s="20">
        <f>100*$N$3</f>
        <v>110</v>
      </c>
      <c r="J75" s="20">
        <f t="shared" si="6"/>
        <v>0</v>
      </c>
      <c r="K75" s="20"/>
      <c r="L75" s="20">
        <f t="shared" si="7"/>
        <v>0</v>
      </c>
      <c r="M75" s="12"/>
      <c r="N75" s="12"/>
      <c r="Q75" s="49"/>
    </row>
    <row r="76" spans="1:17" ht="13.95" customHeight="1" outlineLevel="2" x14ac:dyDescent="0.25">
      <c r="A76" s="147"/>
      <c r="B76" s="54"/>
      <c r="C76" s="25" t="s">
        <v>136</v>
      </c>
      <c r="D76" s="25"/>
      <c r="E76" s="14" t="s">
        <v>137</v>
      </c>
      <c r="F76" s="13"/>
      <c r="G76" s="20">
        <v>30000</v>
      </c>
      <c r="H76" s="20"/>
      <c r="I76" s="20">
        <f>1000*$N$3</f>
        <v>1100</v>
      </c>
      <c r="J76" s="20">
        <f t="shared" si="6"/>
        <v>0</v>
      </c>
      <c r="K76" s="20"/>
      <c r="L76" s="20">
        <f t="shared" si="7"/>
        <v>0</v>
      </c>
      <c r="M76" s="12"/>
      <c r="N76" s="12"/>
      <c r="Q76" s="49"/>
    </row>
    <row r="77" spans="1:17" ht="13.95" customHeight="1" outlineLevel="2" x14ac:dyDescent="0.25">
      <c r="A77" s="147"/>
      <c r="B77" s="54"/>
      <c r="C77" s="25" t="s">
        <v>138</v>
      </c>
      <c r="D77" s="25" t="s">
        <v>139</v>
      </c>
      <c r="E77" s="14" t="s">
        <v>50</v>
      </c>
      <c r="F77" s="13"/>
      <c r="G77" s="20">
        <v>4000</v>
      </c>
      <c r="H77" s="20"/>
      <c r="I77" s="20">
        <f>500*$N$3</f>
        <v>550</v>
      </c>
      <c r="J77" s="20">
        <f t="shared" si="6"/>
        <v>0</v>
      </c>
      <c r="K77" s="20"/>
      <c r="L77" s="20">
        <f t="shared" si="7"/>
        <v>0</v>
      </c>
      <c r="M77" s="12"/>
      <c r="N77" s="12"/>
      <c r="Q77" s="49"/>
    </row>
    <row r="78" spans="1:17" ht="13.05" customHeight="1" outlineLevel="2" x14ac:dyDescent="0.25">
      <c r="A78" s="147"/>
      <c r="B78" s="54"/>
      <c r="C78" s="19" t="s">
        <v>140</v>
      </c>
      <c r="D78" s="19"/>
      <c r="E78" s="13" t="s">
        <v>141</v>
      </c>
      <c r="F78" s="55">
        <v>50</v>
      </c>
      <c r="G78" s="20"/>
      <c r="H78" s="20">
        <f t="shared" ref="H78:I80" si="10">5*$N$3</f>
        <v>5.5</v>
      </c>
      <c r="I78" s="20">
        <f t="shared" si="10"/>
        <v>5.5</v>
      </c>
      <c r="J78" s="20"/>
      <c r="K78" s="20">
        <f>F78*H78</f>
        <v>275</v>
      </c>
      <c r="L78" s="20">
        <f t="shared" si="7"/>
        <v>275</v>
      </c>
      <c r="M78" s="12"/>
      <c r="N78" s="12"/>
      <c r="Q78" s="49"/>
    </row>
    <row r="79" spans="1:17" ht="13.05" customHeight="1" outlineLevel="2" x14ac:dyDescent="0.25">
      <c r="A79" s="147"/>
      <c r="B79" s="54"/>
      <c r="C79" s="19" t="s">
        <v>142</v>
      </c>
      <c r="D79" s="19"/>
      <c r="E79" s="13" t="s">
        <v>141</v>
      </c>
      <c r="F79" s="26"/>
      <c r="G79" s="20"/>
      <c r="H79" s="20">
        <f t="shared" si="10"/>
        <v>5.5</v>
      </c>
      <c r="I79" s="20">
        <f t="shared" si="10"/>
        <v>5.5</v>
      </c>
      <c r="J79" s="20"/>
      <c r="K79" s="20">
        <f>F79*H79</f>
        <v>0</v>
      </c>
      <c r="L79" s="20">
        <f t="shared" si="7"/>
        <v>0</v>
      </c>
      <c r="M79" s="12"/>
      <c r="N79" s="12"/>
      <c r="Q79" s="49"/>
    </row>
    <row r="80" spans="1:17" ht="13.05" customHeight="1" outlineLevel="2" x14ac:dyDescent="0.25">
      <c r="A80" s="147"/>
      <c r="B80" s="54"/>
      <c r="C80" s="19" t="s">
        <v>143</v>
      </c>
      <c r="D80" s="19" t="s">
        <v>144</v>
      </c>
      <c r="E80" s="13" t="s">
        <v>141</v>
      </c>
      <c r="F80" s="26"/>
      <c r="G80" s="20"/>
      <c r="H80" s="20">
        <f t="shared" si="10"/>
        <v>5.5</v>
      </c>
      <c r="I80" s="20">
        <f t="shared" si="10"/>
        <v>5.5</v>
      </c>
      <c r="J80" s="20"/>
      <c r="K80" s="20">
        <f>F80*H80</f>
        <v>0</v>
      </c>
      <c r="L80" s="20">
        <f t="shared" si="7"/>
        <v>0</v>
      </c>
      <c r="M80" s="12"/>
      <c r="N80" s="12"/>
      <c r="Q80" s="49"/>
    </row>
    <row r="81" spans="1:17" ht="14.25" customHeight="1" outlineLevel="2" x14ac:dyDescent="0.25">
      <c r="A81" s="147"/>
      <c r="B81" s="54"/>
      <c r="C81" s="19" t="s">
        <v>145</v>
      </c>
      <c r="D81" s="19" t="s">
        <v>146</v>
      </c>
      <c r="E81" s="13" t="s">
        <v>141</v>
      </c>
      <c r="F81" s="26"/>
      <c r="G81" s="20"/>
      <c r="H81" s="20">
        <f>12.76*$N$3</f>
        <v>14.036</v>
      </c>
      <c r="I81" s="20">
        <f>5*$N$3</f>
        <v>5.5</v>
      </c>
      <c r="J81" s="20"/>
      <c r="K81" s="20">
        <f>F81*H81</f>
        <v>0</v>
      </c>
      <c r="L81" s="20">
        <f t="shared" si="7"/>
        <v>0</v>
      </c>
      <c r="M81" s="12"/>
      <c r="N81" s="12"/>
      <c r="Q81" s="49"/>
    </row>
    <row r="82" spans="1:17" ht="14.25" customHeight="1" outlineLevel="1" x14ac:dyDescent="0.25">
      <c r="A82" s="147"/>
      <c r="B82" s="56">
        <v>3.2</v>
      </c>
      <c r="C82" s="19" t="s">
        <v>147</v>
      </c>
      <c r="D82" s="19"/>
      <c r="E82" s="13"/>
      <c r="F82" s="26"/>
      <c r="G82" s="20"/>
      <c r="H82" s="20"/>
      <c r="I82" s="20"/>
      <c r="J82" s="20"/>
      <c r="K82" s="20"/>
      <c r="L82" s="20"/>
      <c r="M82" s="12"/>
      <c r="N82" s="12"/>
      <c r="Q82" s="49"/>
    </row>
    <row r="83" spans="1:17" ht="14.25" customHeight="1" outlineLevel="2" x14ac:dyDescent="0.25">
      <c r="A83" s="147"/>
      <c r="B83" s="54"/>
      <c r="C83" s="19" t="s">
        <v>148</v>
      </c>
      <c r="D83" s="19"/>
      <c r="E83" s="13" t="s">
        <v>50</v>
      </c>
      <c r="F83" s="26"/>
      <c r="G83" s="20">
        <v>1500</v>
      </c>
      <c r="H83" s="20"/>
      <c r="I83" s="20">
        <f>500*$N$3</f>
        <v>550</v>
      </c>
      <c r="J83" s="20">
        <f t="shared" ref="J83:J95" si="11">F83*G83</f>
        <v>0</v>
      </c>
      <c r="K83" s="20"/>
      <c r="L83" s="20">
        <f t="shared" ref="L83:L92" si="12">F83*I83</f>
        <v>0</v>
      </c>
      <c r="M83" s="12"/>
      <c r="N83" s="12"/>
      <c r="Q83" s="49"/>
    </row>
    <row r="84" spans="1:17" ht="14.25" customHeight="1" outlineLevel="2" x14ac:dyDescent="0.25">
      <c r="A84" s="147"/>
      <c r="B84" s="54"/>
      <c r="C84" s="19" t="s">
        <v>149</v>
      </c>
      <c r="D84" s="19"/>
      <c r="E84" s="13" t="s">
        <v>50</v>
      </c>
      <c r="F84" s="26"/>
      <c r="G84" s="20">
        <v>5000</v>
      </c>
      <c r="H84" s="20"/>
      <c r="I84" s="20">
        <f>1000*$N$3</f>
        <v>1100</v>
      </c>
      <c r="J84" s="20">
        <f t="shared" si="11"/>
        <v>0</v>
      </c>
      <c r="K84" s="20"/>
      <c r="L84" s="20">
        <f t="shared" si="12"/>
        <v>0</v>
      </c>
      <c r="M84" s="12"/>
      <c r="N84" s="12"/>
      <c r="Q84" s="49"/>
    </row>
    <row r="85" spans="1:17" ht="14.25" customHeight="1" outlineLevel="2" x14ac:dyDescent="0.25">
      <c r="A85" s="147"/>
      <c r="B85" s="54"/>
      <c r="C85" s="19" t="s">
        <v>150</v>
      </c>
      <c r="D85" s="19" t="s">
        <v>100</v>
      </c>
      <c r="E85" s="13" t="s">
        <v>50</v>
      </c>
      <c r="F85" s="26"/>
      <c r="G85" s="20">
        <v>20000</v>
      </c>
      <c r="H85" s="20"/>
      <c r="I85" s="20">
        <f>1000*$N$3</f>
        <v>1100</v>
      </c>
      <c r="J85" s="20">
        <f t="shared" si="11"/>
        <v>0</v>
      </c>
      <c r="K85" s="20"/>
      <c r="L85" s="20">
        <f t="shared" si="12"/>
        <v>0</v>
      </c>
      <c r="M85" s="12"/>
      <c r="N85" s="12"/>
      <c r="Q85" s="49"/>
    </row>
    <row r="86" spans="1:17" ht="14.25" customHeight="1" outlineLevel="2" x14ac:dyDescent="0.25">
      <c r="A86" s="147"/>
      <c r="B86" s="54"/>
      <c r="C86" s="19" t="s">
        <v>122</v>
      </c>
      <c r="D86" s="19"/>
      <c r="E86" s="13" t="s">
        <v>50</v>
      </c>
      <c r="F86" s="26"/>
      <c r="G86" s="20">
        <v>15000</v>
      </c>
      <c r="H86" s="20"/>
      <c r="I86" s="20">
        <f>1000*$N$3</f>
        <v>1100</v>
      </c>
      <c r="J86" s="20">
        <f t="shared" si="11"/>
        <v>0</v>
      </c>
      <c r="K86" s="20"/>
      <c r="L86" s="20">
        <f t="shared" si="12"/>
        <v>0</v>
      </c>
      <c r="M86" s="12"/>
      <c r="N86" s="12"/>
      <c r="Q86" s="49"/>
    </row>
    <row r="87" spans="1:17" ht="14.25" customHeight="1" outlineLevel="2" x14ac:dyDescent="0.25">
      <c r="A87" s="147"/>
      <c r="B87" s="54"/>
      <c r="C87" s="25" t="s">
        <v>151</v>
      </c>
      <c r="D87" s="25"/>
      <c r="E87" s="14" t="s">
        <v>50</v>
      </c>
      <c r="F87" s="13"/>
      <c r="G87" s="20">
        <v>6000</v>
      </c>
      <c r="H87" s="20"/>
      <c r="I87" s="20">
        <f>1000*$N$3</f>
        <v>1100</v>
      </c>
      <c r="J87" s="20">
        <f t="shared" si="11"/>
        <v>0</v>
      </c>
      <c r="K87" s="20"/>
      <c r="L87" s="20">
        <f t="shared" si="12"/>
        <v>0</v>
      </c>
      <c r="M87" s="12"/>
      <c r="N87" s="12"/>
      <c r="Q87" s="49"/>
    </row>
    <row r="88" spans="1:17" ht="14.25" customHeight="1" outlineLevel="2" x14ac:dyDescent="0.25">
      <c r="A88" s="147"/>
      <c r="B88" s="54"/>
      <c r="C88" s="19" t="s">
        <v>136</v>
      </c>
      <c r="D88" s="19"/>
      <c r="E88" s="13" t="s">
        <v>137</v>
      </c>
      <c r="F88" s="26"/>
      <c r="G88" s="20">
        <v>30000</v>
      </c>
      <c r="H88" s="20"/>
      <c r="I88" s="20">
        <f>1000*$N$3</f>
        <v>1100</v>
      </c>
      <c r="J88" s="20">
        <f t="shared" si="11"/>
        <v>0</v>
      </c>
      <c r="K88" s="20"/>
      <c r="L88" s="20">
        <f t="shared" si="12"/>
        <v>0</v>
      </c>
      <c r="M88" s="12"/>
      <c r="N88" s="12"/>
      <c r="Q88" s="49"/>
    </row>
    <row r="89" spans="1:17" ht="14.25" customHeight="1" outlineLevel="2" x14ac:dyDescent="0.25">
      <c r="A89" s="147"/>
      <c r="B89" s="54"/>
      <c r="C89" s="19" t="s">
        <v>138</v>
      </c>
      <c r="D89" s="19" t="s">
        <v>139</v>
      </c>
      <c r="E89" s="13" t="s">
        <v>50</v>
      </c>
      <c r="F89" s="26"/>
      <c r="G89" s="20">
        <v>4000</v>
      </c>
      <c r="H89" s="20"/>
      <c r="I89" s="20">
        <f>500*$N$3</f>
        <v>550</v>
      </c>
      <c r="J89" s="20">
        <f t="shared" si="11"/>
        <v>0</v>
      </c>
      <c r="K89" s="20"/>
      <c r="L89" s="20">
        <f t="shared" si="12"/>
        <v>0</v>
      </c>
      <c r="M89" s="12"/>
      <c r="N89" s="12"/>
      <c r="Q89" s="49"/>
    </row>
    <row r="90" spans="1:17" ht="14.25" customHeight="1" outlineLevel="2" x14ac:dyDescent="0.25">
      <c r="A90" s="147"/>
      <c r="B90" s="54"/>
      <c r="C90" s="25" t="s">
        <v>132</v>
      </c>
      <c r="D90" s="25" t="s">
        <v>152</v>
      </c>
      <c r="E90" s="14" t="s">
        <v>50</v>
      </c>
      <c r="F90" s="13"/>
      <c r="G90" s="20">
        <v>2300</v>
      </c>
      <c r="H90" s="20"/>
      <c r="I90" s="20">
        <f>100*$N$3</f>
        <v>110</v>
      </c>
      <c r="J90" s="20">
        <f t="shared" si="11"/>
        <v>0</v>
      </c>
      <c r="K90" s="20"/>
      <c r="L90" s="20">
        <f t="shared" si="12"/>
        <v>0</v>
      </c>
      <c r="M90" s="12"/>
      <c r="N90" s="12"/>
      <c r="Q90" s="49"/>
    </row>
    <row r="91" spans="1:17" ht="14.25" customHeight="1" outlineLevel="2" x14ac:dyDescent="0.25">
      <c r="A91" s="147"/>
      <c r="B91" s="54"/>
      <c r="C91" s="19" t="s">
        <v>140</v>
      </c>
      <c r="D91" s="19"/>
      <c r="E91" s="13" t="s">
        <v>141</v>
      </c>
      <c r="F91" s="55"/>
      <c r="G91" s="20"/>
      <c r="H91" s="20">
        <f>5*$N$3</f>
        <v>5.5</v>
      </c>
      <c r="I91" s="20">
        <f>5*$N$3</f>
        <v>5.5</v>
      </c>
      <c r="J91" s="20"/>
      <c r="K91" s="20">
        <f>F91*H91</f>
        <v>0</v>
      </c>
      <c r="L91" s="20">
        <f t="shared" si="12"/>
        <v>0</v>
      </c>
      <c r="M91" s="12"/>
      <c r="N91" s="12"/>
      <c r="Q91" s="49"/>
    </row>
    <row r="92" spans="1:17" ht="14.25" customHeight="1" outlineLevel="2" x14ac:dyDescent="0.25">
      <c r="A92" s="147"/>
      <c r="B92" s="54"/>
      <c r="C92" s="19" t="s">
        <v>142</v>
      </c>
      <c r="D92" s="19"/>
      <c r="E92" s="13" t="s">
        <v>141</v>
      </c>
      <c r="F92" s="26"/>
      <c r="G92" s="20"/>
      <c r="H92" s="20">
        <f>5*$N$3</f>
        <v>5.5</v>
      </c>
      <c r="I92" s="20">
        <f>5*$N$3</f>
        <v>5.5</v>
      </c>
      <c r="J92" s="20"/>
      <c r="K92" s="20">
        <f>F92*H92</f>
        <v>0</v>
      </c>
      <c r="L92" s="20">
        <f t="shared" si="12"/>
        <v>0</v>
      </c>
      <c r="M92" s="12"/>
      <c r="N92" s="12"/>
      <c r="Q92" s="49"/>
    </row>
    <row r="93" spans="1:17" ht="16.5" customHeight="1" outlineLevel="1" x14ac:dyDescent="0.25">
      <c r="A93" s="147"/>
      <c r="B93" s="56">
        <v>3.3</v>
      </c>
      <c r="C93" s="19" t="s">
        <v>153</v>
      </c>
      <c r="D93" s="19"/>
      <c r="E93" s="13"/>
      <c r="F93" s="26"/>
      <c r="G93" s="20"/>
      <c r="H93" s="20"/>
      <c r="I93" s="20"/>
      <c r="J93" s="20"/>
      <c r="K93" s="20"/>
      <c r="L93" s="20"/>
      <c r="M93" s="12"/>
      <c r="N93" s="12"/>
      <c r="Q93" s="49"/>
    </row>
    <row r="94" spans="1:17" ht="15.45" customHeight="1" outlineLevel="2" collapsed="1" x14ac:dyDescent="0.25">
      <c r="A94" s="147"/>
      <c r="B94" s="56"/>
      <c r="C94" s="19" t="s">
        <v>154</v>
      </c>
      <c r="D94" s="21" t="s">
        <v>155</v>
      </c>
      <c r="E94" s="13" t="s">
        <v>50</v>
      </c>
      <c r="F94" s="26"/>
      <c r="G94" s="20">
        <v>123500</v>
      </c>
      <c r="H94" s="20"/>
      <c r="I94" s="20"/>
      <c r="J94" s="20">
        <f t="shared" si="11"/>
        <v>0</v>
      </c>
      <c r="K94" s="20"/>
      <c r="L94" s="20"/>
      <c r="M94" s="12"/>
      <c r="N94" s="12"/>
      <c r="Q94" s="49"/>
    </row>
    <row r="95" spans="1:17" ht="15.45" customHeight="1" outlineLevel="2" x14ac:dyDescent="0.25">
      <c r="A95" s="147"/>
      <c r="B95" s="57"/>
      <c r="C95" s="29" t="s">
        <v>154</v>
      </c>
      <c r="D95" s="25" t="s">
        <v>156</v>
      </c>
      <c r="E95" s="26" t="s">
        <v>50</v>
      </c>
      <c r="F95" s="26"/>
      <c r="G95" s="28">
        <v>60000</v>
      </c>
      <c r="H95" s="28"/>
      <c r="I95" s="28"/>
      <c r="J95" s="20">
        <f t="shared" si="11"/>
        <v>0</v>
      </c>
      <c r="K95" s="20"/>
      <c r="L95" s="20"/>
      <c r="M95" s="12"/>
      <c r="N95" s="12"/>
      <c r="Q95" s="49"/>
    </row>
    <row r="96" spans="1:17" ht="14.25" customHeight="1" x14ac:dyDescent="0.25">
      <c r="A96" s="147"/>
      <c r="B96" s="17">
        <v>4</v>
      </c>
      <c r="C96" s="18" t="s">
        <v>157</v>
      </c>
      <c r="D96" s="48"/>
      <c r="E96" s="48"/>
      <c r="F96" s="48"/>
      <c r="G96" s="20"/>
      <c r="H96" s="20"/>
      <c r="I96" s="20"/>
      <c r="J96" s="20"/>
      <c r="K96" s="20"/>
      <c r="L96" s="20"/>
      <c r="M96" s="12"/>
      <c r="N96" s="12"/>
      <c r="Q96" s="49"/>
    </row>
    <row r="97" spans="1:17" ht="14.25" customHeight="1" outlineLevel="1" x14ac:dyDescent="0.25">
      <c r="A97" s="147"/>
      <c r="B97" s="14">
        <v>4.0999999999999996</v>
      </c>
      <c r="C97" s="19" t="s">
        <v>158</v>
      </c>
      <c r="D97" s="48"/>
      <c r="E97" s="48"/>
      <c r="F97" s="48"/>
      <c r="G97" s="20"/>
      <c r="H97" s="20"/>
      <c r="I97" s="20"/>
      <c r="J97" s="20"/>
      <c r="K97" s="20"/>
      <c r="L97" s="20"/>
      <c r="M97" s="12"/>
      <c r="N97" s="12"/>
      <c r="Q97" s="49"/>
    </row>
    <row r="98" spans="1:17" ht="14.25" customHeight="1" outlineLevel="2" x14ac:dyDescent="0.25">
      <c r="A98" s="147"/>
      <c r="B98" s="14"/>
      <c r="C98" s="19"/>
      <c r="D98" s="19" t="s">
        <v>159</v>
      </c>
      <c r="E98" s="13" t="s">
        <v>160</v>
      </c>
      <c r="F98" s="13">
        <v>0.44</v>
      </c>
      <c r="G98" s="20"/>
      <c r="H98" s="28">
        <f>4.5*1000*$N$3</f>
        <v>4950</v>
      </c>
      <c r="I98" s="20">
        <f>2000*$N$3</f>
        <v>2200</v>
      </c>
      <c r="J98" s="20"/>
      <c r="K98" s="20">
        <f>F98*H98</f>
        <v>2178</v>
      </c>
      <c r="L98" s="20">
        <f>F98*I98</f>
        <v>968</v>
      </c>
      <c r="M98" s="12"/>
      <c r="N98" s="12"/>
      <c r="Q98" s="49"/>
    </row>
    <row r="99" spans="1:17" ht="14.25" customHeight="1" outlineLevel="2" x14ac:dyDescent="0.25">
      <c r="A99" s="147"/>
      <c r="B99" s="14"/>
      <c r="C99" s="19"/>
      <c r="D99" s="19" t="s">
        <v>161</v>
      </c>
      <c r="E99" s="13" t="s">
        <v>160</v>
      </c>
      <c r="F99" s="13"/>
      <c r="G99" s="20"/>
      <c r="H99" s="20">
        <f>6.68*1000*$N$3</f>
        <v>7348</v>
      </c>
      <c r="I99" s="20">
        <f>2000*$N$3</f>
        <v>2200</v>
      </c>
      <c r="J99" s="20"/>
      <c r="K99" s="20">
        <f>F99*H99</f>
        <v>0</v>
      </c>
      <c r="L99" s="20">
        <f>F99*I99</f>
        <v>0</v>
      </c>
      <c r="M99" s="12"/>
      <c r="N99" s="12"/>
      <c r="Q99" s="49"/>
    </row>
    <row r="100" spans="1:17" ht="14.25" customHeight="1" outlineLevel="1" x14ac:dyDescent="0.25">
      <c r="A100" s="147"/>
      <c r="B100" s="14">
        <v>4.2</v>
      </c>
      <c r="C100" s="19" t="s">
        <v>162</v>
      </c>
      <c r="D100" s="19"/>
      <c r="E100" s="13"/>
      <c r="F100" s="13"/>
      <c r="G100" s="20"/>
      <c r="H100" s="20"/>
      <c r="I100" s="20"/>
      <c r="J100" s="20"/>
      <c r="K100" s="20"/>
      <c r="L100" s="20"/>
      <c r="M100" s="12"/>
      <c r="N100" s="12"/>
      <c r="Q100" s="49"/>
    </row>
    <row r="101" spans="1:17" ht="14.25" customHeight="1" outlineLevel="1" x14ac:dyDescent="0.25">
      <c r="A101" s="147"/>
      <c r="B101" s="14"/>
      <c r="C101" s="19"/>
      <c r="D101" s="19" t="s">
        <v>163</v>
      </c>
      <c r="E101" s="13" t="s">
        <v>141</v>
      </c>
      <c r="F101" s="26">
        <v>40</v>
      </c>
      <c r="G101" s="20"/>
      <c r="H101" s="28">
        <f>35.5*$N$3</f>
        <v>39.050000000000004</v>
      </c>
      <c r="I101" s="28">
        <f>20*$N$3</f>
        <v>22</v>
      </c>
      <c r="J101" s="20"/>
      <c r="K101" s="20"/>
      <c r="L101" s="20"/>
      <c r="M101" s="12"/>
      <c r="N101" s="12"/>
      <c r="Q101" s="49"/>
    </row>
    <row r="102" spans="1:17" ht="14.25" customHeight="1" outlineLevel="2" x14ac:dyDescent="0.25">
      <c r="A102" s="147"/>
      <c r="B102" s="14"/>
      <c r="C102" s="19"/>
      <c r="D102" s="19" t="s">
        <v>164</v>
      </c>
      <c r="E102" s="13" t="s">
        <v>141</v>
      </c>
      <c r="G102" s="20"/>
      <c r="H102" s="28">
        <f>48.82*$N$3</f>
        <v>53.701999999999998</v>
      </c>
      <c r="I102" s="20">
        <f t="shared" ref="I102:I122" si="13">20*$N$3</f>
        <v>22</v>
      </c>
      <c r="J102" s="20"/>
      <c r="K102" s="20">
        <f>F101*H102</f>
        <v>2148.08</v>
      </c>
      <c r="L102" s="20">
        <f>F101*I102</f>
        <v>880</v>
      </c>
      <c r="M102" s="12"/>
      <c r="N102" s="12"/>
      <c r="Q102" s="49"/>
    </row>
    <row r="103" spans="1:17" ht="14.25" customHeight="1" outlineLevel="2" x14ac:dyDescent="0.25">
      <c r="A103" s="147"/>
      <c r="B103" s="14"/>
      <c r="C103" s="19"/>
      <c r="D103" s="19" t="s">
        <v>165</v>
      </c>
      <c r="E103" s="13" t="s">
        <v>141</v>
      </c>
      <c r="F103" s="26"/>
      <c r="G103" s="20"/>
      <c r="H103" s="42">
        <f>55.9*$N$3</f>
        <v>61.49</v>
      </c>
      <c r="I103" s="20">
        <f t="shared" si="13"/>
        <v>22</v>
      </c>
      <c r="J103" s="20"/>
      <c r="K103" s="20">
        <f t="shared" ref="K103:K160" si="14">F103*H103</f>
        <v>0</v>
      </c>
      <c r="L103" s="20">
        <f t="shared" ref="L103:L160" si="15">F103*I103</f>
        <v>0</v>
      </c>
      <c r="M103" s="12"/>
      <c r="N103" s="12"/>
      <c r="Q103" s="49"/>
    </row>
    <row r="104" spans="1:17" ht="14.25" customHeight="1" outlineLevel="2" x14ac:dyDescent="0.25">
      <c r="A104" s="147"/>
      <c r="B104" s="14"/>
      <c r="C104" s="19"/>
      <c r="D104" s="19" t="s">
        <v>166</v>
      </c>
      <c r="E104" s="13" t="s">
        <v>141</v>
      </c>
      <c r="F104" s="26"/>
      <c r="G104" s="20"/>
      <c r="H104" s="42">
        <f>68.89*$N$3</f>
        <v>75.778999999999996</v>
      </c>
      <c r="I104" s="20">
        <f t="shared" si="13"/>
        <v>22</v>
      </c>
      <c r="J104" s="20"/>
      <c r="K104" s="20">
        <f t="shared" si="14"/>
        <v>0</v>
      </c>
      <c r="L104" s="20">
        <f t="shared" si="15"/>
        <v>0</v>
      </c>
      <c r="M104" s="12"/>
      <c r="N104" s="12"/>
      <c r="Q104" s="49"/>
    </row>
    <row r="105" spans="1:17" ht="14.25" customHeight="1" outlineLevel="2" x14ac:dyDescent="0.25">
      <c r="A105" s="147"/>
      <c r="B105" s="14"/>
      <c r="C105" s="19"/>
      <c r="D105" s="19" t="s">
        <v>167</v>
      </c>
      <c r="E105" s="13" t="s">
        <v>141</v>
      </c>
      <c r="F105" s="26"/>
      <c r="G105" s="20"/>
      <c r="H105" s="42">
        <f>86.92*$N$3</f>
        <v>95.611999999999995</v>
      </c>
      <c r="I105" s="20">
        <f t="shared" si="13"/>
        <v>22</v>
      </c>
      <c r="J105" s="20"/>
      <c r="K105" s="20">
        <f t="shared" si="14"/>
        <v>0</v>
      </c>
      <c r="L105" s="20">
        <f t="shared" si="15"/>
        <v>0</v>
      </c>
      <c r="M105" s="12"/>
      <c r="N105" s="12"/>
      <c r="Q105" s="49"/>
    </row>
    <row r="106" spans="1:17" ht="14.25" customHeight="1" outlineLevel="2" x14ac:dyDescent="0.25">
      <c r="A106" s="147"/>
      <c r="B106" s="14"/>
      <c r="C106" s="19"/>
      <c r="D106" s="19" t="s">
        <v>168</v>
      </c>
      <c r="E106" s="13" t="s">
        <v>141</v>
      </c>
      <c r="F106" s="26"/>
      <c r="G106" s="20"/>
      <c r="H106" s="42">
        <f>281.67*$N$3</f>
        <v>309.83699999999999</v>
      </c>
      <c r="I106" s="20">
        <f t="shared" si="13"/>
        <v>22</v>
      </c>
      <c r="J106" s="20"/>
      <c r="K106" s="20">
        <f t="shared" si="14"/>
        <v>0</v>
      </c>
      <c r="L106" s="20">
        <f t="shared" si="15"/>
        <v>0</v>
      </c>
      <c r="M106" s="12"/>
      <c r="N106" s="12"/>
      <c r="Q106" s="49"/>
    </row>
    <row r="107" spans="1:17" ht="14.25" customHeight="1" outlineLevel="2" x14ac:dyDescent="0.25">
      <c r="A107" s="147"/>
      <c r="B107" s="14"/>
      <c r="C107" s="19"/>
      <c r="D107" s="19" t="s">
        <v>169</v>
      </c>
      <c r="E107" s="13" t="s">
        <v>141</v>
      </c>
      <c r="F107" s="26"/>
      <c r="G107" s="20"/>
      <c r="H107" s="42">
        <f>361.65*$N$3</f>
        <v>397.815</v>
      </c>
      <c r="I107" s="20">
        <f t="shared" si="13"/>
        <v>22</v>
      </c>
      <c r="J107" s="20"/>
      <c r="K107" s="20">
        <f t="shared" si="14"/>
        <v>0</v>
      </c>
      <c r="L107" s="20">
        <f t="shared" si="15"/>
        <v>0</v>
      </c>
      <c r="M107" s="12"/>
      <c r="N107" s="12"/>
      <c r="Q107" s="49"/>
    </row>
    <row r="108" spans="1:17" ht="14.25" customHeight="1" outlineLevel="2" x14ac:dyDescent="0.25">
      <c r="A108" s="147"/>
      <c r="B108" s="14"/>
      <c r="C108" s="19"/>
      <c r="D108" s="19" t="s">
        <v>170</v>
      </c>
      <c r="E108" s="13" t="s">
        <v>141</v>
      </c>
      <c r="F108" s="26"/>
      <c r="G108" s="20"/>
      <c r="H108" s="42">
        <f>427.5*$N$3</f>
        <v>470.25</v>
      </c>
      <c r="I108" s="20">
        <f t="shared" si="13"/>
        <v>22</v>
      </c>
      <c r="J108" s="20"/>
      <c r="K108" s="20">
        <f t="shared" si="14"/>
        <v>0</v>
      </c>
      <c r="L108" s="20">
        <f t="shared" si="15"/>
        <v>0</v>
      </c>
      <c r="M108" s="12"/>
      <c r="N108" s="12"/>
      <c r="Q108" s="49"/>
    </row>
    <row r="109" spans="1:17" ht="14.25" customHeight="1" outlineLevel="2" x14ac:dyDescent="0.25">
      <c r="A109" s="147"/>
      <c r="B109" s="14"/>
      <c r="C109" s="19"/>
      <c r="D109" s="19" t="s">
        <v>171</v>
      </c>
      <c r="E109" s="13" t="s">
        <v>141</v>
      </c>
      <c r="F109" s="13"/>
      <c r="G109" s="20"/>
      <c r="H109" s="20">
        <f>541.63*$N$3</f>
        <v>595.79300000000001</v>
      </c>
      <c r="I109" s="20">
        <f t="shared" si="13"/>
        <v>22</v>
      </c>
      <c r="J109" s="20"/>
      <c r="K109" s="20">
        <f t="shared" si="14"/>
        <v>0</v>
      </c>
      <c r="L109" s="20">
        <f t="shared" si="15"/>
        <v>0</v>
      </c>
      <c r="M109" s="12"/>
      <c r="N109" s="12"/>
      <c r="Q109" s="49"/>
    </row>
    <row r="110" spans="1:17" ht="14.25" customHeight="1" outlineLevel="2" x14ac:dyDescent="0.25">
      <c r="A110" s="147"/>
      <c r="B110" s="14"/>
      <c r="C110" s="19"/>
      <c r="D110" s="19" t="s">
        <v>172</v>
      </c>
      <c r="E110" s="13" t="s">
        <v>141</v>
      </c>
      <c r="F110" s="13"/>
      <c r="G110" s="20"/>
      <c r="H110" s="20">
        <f>699.98*$N$3</f>
        <v>769.97799999999995</v>
      </c>
      <c r="I110" s="20">
        <f t="shared" si="13"/>
        <v>22</v>
      </c>
      <c r="J110" s="20"/>
      <c r="K110" s="20">
        <f t="shared" si="14"/>
        <v>0</v>
      </c>
      <c r="L110" s="20">
        <f t="shared" si="15"/>
        <v>0</v>
      </c>
      <c r="M110" s="12"/>
      <c r="N110" s="12"/>
      <c r="Q110" s="49"/>
    </row>
    <row r="111" spans="1:17" ht="14.25" customHeight="1" outlineLevel="2" x14ac:dyDescent="0.25">
      <c r="A111" s="147"/>
      <c r="B111" s="14"/>
      <c r="C111" s="19"/>
      <c r="D111" s="19" t="s">
        <v>173</v>
      </c>
      <c r="E111" s="13" t="s">
        <v>141</v>
      </c>
      <c r="F111" s="13"/>
      <c r="G111" s="20"/>
      <c r="H111" s="20">
        <f>36.5*$N$3</f>
        <v>40.15</v>
      </c>
      <c r="I111" s="20">
        <f t="shared" si="13"/>
        <v>22</v>
      </c>
      <c r="J111" s="20"/>
      <c r="K111" s="20">
        <f t="shared" si="14"/>
        <v>0</v>
      </c>
      <c r="L111" s="20">
        <f t="shared" si="15"/>
        <v>0</v>
      </c>
      <c r="M111" s="12"/>
      <c r="N111" s="12"/>
      <c r="Q111" s="49"/>
    </row>
    <row r="112" spans="1:17" ht="14.25" customHeight="1" outlineLevel="2" x14ac:dyDescent="0.25">
      <c r="A112" s="147"/>
      <c r="B112" s="14"/>
      <c r="C112" s="19"/>
      <c r="D112" s="19" t="s">
        <v>174</v>
      </c>
      <c r="E112" s="13" t="s">
        <v>141</v>
      </c>
      <c r="F112" s="13"/>
      <c r="G112" s="20"/>
      <c r="H112" s="20">
        <f>43.82*$N$3</f>
        <v>48.201999999999998</v>
      </c>
      <c r="I112" s="20">
        <f t="shared" si="13"/>
        <v>22</v>
      </c>
      <c r="J112" s="20"/>
      <c r="K112" s="20">
        <f t="shared" si="14"/>
        <v>0</v>
      </c>
      <c r="L112" s="20">
        <f t="shared" si="15"/>
        <v>0</v>
      </c>
      <c r="M112" s="12"/>
      <c r="N112" s="12"/>
      <c r="Q112" s="49"/>
    </row>
    <row r="113" spans="1:17" ht="14.25" customHeight="1" outlineLevel="2" x14ac:dyDescent="0.25">
      <c r="A113" s="147"/>
      <c r="B113" s="14"/>
      <c r="C113" s="19"/>
      <c r="D113" s="19" t="s">
        <v>175</v>
      </c>
      <c r="E113" s="13" t="s">
        <v>141</v>
      </c>
      <c r="F113" s="13"/>
      <c r="G113" s="13"/>
      <c r="H113" s="20">
        <f>52.01*$N$3</f>
        <v>57.210999999999999</v>
      </c>
      <c r="I113" s="20">
        <f t="shared" si="13"/>
        <v>22</v>
      </c>
      <c r="J113" s="20"/>
      <c r="K113" s="20">
        <f t="shared" si="14"/>
        <v>0</v>
      </c>
      <c r="L113" s="20">
        <f t="shared" si="15"/>
        <v>0</v>
      </c>
      <c r="M113" s="12"/>
      <c r="N113" s="12"/>
      <c r="Q113" s="49"/>
    </row>
    <row r="114" spans="1:17" ht="14.25" customHeight="1" outlineLevel="2" x14ac:dyDescent="0.25">
      <c r="A114" s="147"/>
      <c r="B114" s="14"/>
      <c r="C114" s="19"/>
      <c r="D114" s="19" t="s">
        <v>176</v>
      </c>
      <c r="E114" s="13" t="s">
        <v>141</v>
      </c>
      <c r="F114" s="13"/>
      <c r="G114" s="13"/>
      <c r="H114" s="20">
        <f>62.24*$N$3</f>
        <v>68.463999999999999</v>
      </c>
      <c r="I114" s="20">
        <f t="shared" si="13"/>
        <v>22</v>
      </c>
      <c r="J114" s="20"/>
      <c r="K114" s="20">
        <f t="shared" si="14"/>
        <v>0</v>
      </c>
      <c r="L114" s="20">
        <f t="shared" si="15"/>
        <v>0</v>
      </c>
      <c r="M114" s="12"/>
      <c r="N114" s="12"/>
      <c r="Q114" s="49"/>
    </row>
    <row r="115" spans="1:17" ht="14.25" customHeight="1" outlineLevel="2" x14ac:dyDescent="0.25">
      <c r="A115" s="147"/>
      <c r="B115" s="14"/>
      <c r="C115" s="19"/>
      <c r="D115" s="19" t="s">
        <v>177</v>
      </c>
      <c r="E115" s="13" t="s">
        <v>141</v>
      </c>
      <c r="F115" s="13"/>
      <c r="G115" s="13"/>
      <c r="H115" s="20">
        <f>78.9*$N$3</f>
        <v>86.79</v>
      </c>
      <c r="I115" s="20">
        <f t="shared" si="13"/>
        <v>22</v>
      </c>
      <c r="J115" s="20"/>
      <c r="K115" s="20">
        <f t="shared" si="14"/>
        <v>0</v>
      </c>
      <c r="L115" s="20">
        <f t="shared" si="15"/>
        <v>0</v>
      </c>
      <c r="M115" s="12"/>
      <c r="N115" s="12"/>
      <c r="Q115" s="49"/>
    </row>
    <row r="116" spans="1:17" ht="14.25" customHeight="1" outlineLevel="2" x14ac:dyDescent="0.25">
      <c r="A116" s="147"/>
      <c r="B116" s="14"/>
      <c r="C116" s="19"/>
      <c r="D116" s="19" t="s">
        <v>178</v>
      </c>
      <c r="E116" s="13" t="s">
        <v>141</v>
      </c>
      <c r="F116" s="13"/>
      <c r="G116" s="13"/>
      <c r="H116" s="20">
        <f>95.89*$N$3</f>
        <v>105.479</v>
      </c>
      <c r="I116" s="20">
        <f t="shared" si="13"/>
        <v>22</v>
      </c>
      <c r="J116" s="20"/>
      <c r="K116" s="20">
        <f t="shared" si="14"/>
        <v>0</v>
      </c>
      <c r="L116" s="20">
        <f t="shared" si="15"/>
        <v>0</v>
      </c>
      <c r="M116" s="12"/>
      <c r="N116" s="12"/>
      <c r="Q116" s="49"/>
    </row>
    <row r="117" spans="1:17" ht="14.25" customHeight="1" outlineLevel="2" x14ac:dyDescent="0.25">
      <c r="A117" s="147"/>
      <c r="B117" s="14"/>
      <c r="C117" s="19"/>
      <c r="D117" s="19" t="s">
        <v>179</v>
      </c>
      <c r="E117" s="13" t="s">
        <v>141</v>
      </c>
      <c r="F117" s="13"/>
      <c r="G117" s="20"/>
      <c r="H117" s="20">
        <f>246.16*$N$3</f>
        <v>270.77600000000001</v>
      </c>
      <c r="I117" s="20">
        <f t="shared" si="13"/>
        <v>22</v>
      </c>
      <c r="J117" s="20"/>
      <c r="K117" s="20">
        <f t="shared" si="14"/>
        <v>0</v>
      </c>
      <c r="L117" s="20">
        <f t="shared" si="15"/>
        <v>0</v>
      </c>
      <c r="M117" s="12"/>
      <c r="N117" s="12"/>
      <c r="Q117" s="49"/>
    </row>
    <row r="118" spans="1:17" ht="14.25" customHeight="1" outlineLevel="2" x14ac:dyDescent="0.25">
      <c r="A118" s="147"/>
      <c r="B118" s="14"/>
      <c r="C118" s="19"/>
      <c r="D118" s="19" t="s">
        <v>180</v>
      </c>
      <c r="E118" s="13" t="s">
        <v>141</v>
      </c>
      <c r="F118" s="13"/>
      <c r="G118" s="20"/>
      <c r="H118" s="20">
        <f>307.98*$N$3</f>
        <v>338.77800000000002</v>
      </c>
      <c r="I118" s="20">
        <f t="shared" si="13"/>
        <v>22</v>
      </c>
      <c r="J118" s="20"/>
      <c r="K118" s="20">
        <f t="shared" si="14"/>
        <v>0</v>
      </c>
      <c r="L118" s="20">
        <f t="shared" si="15"/>
        <v>0</v>
      </c>
      <c r="M118" s="12"/>
      <c r="N118" s="12"/>
      <c r="Q118" s="49"/>
    </row>
    <row r="119" spans="1:17" ht="14.25" customHeight="1" outlineLevel="2" x14ac:dyDescent="0.25">
      <c r="A119" s="147"/>
      <c r="B119" s="14"/>
      <c r="C119" s="19"/>
      <c r="D119" s="19" t="s">
        <v>181</v>
      </c>
      <c r="E119" s="13" t="s">
        <v>141</v>
      </c>
      <c r="F119" s="13"/>
      <c r="G119" s="13"/>
      <c r="H119" s="20">
        <f>375.97*$N$3</f>
        <v>413.56700000000001</v>
      </c>
      <c r="I119" s="20">
        <f t="shared" si="13"/>
        <v>22</v>
      </c>
      <c r="J119" s="20"/>
      <c r="K119" s="20">
        <f t="shared" si="14"/>
        <v>0</v>
      </c>
      <c r="L119" s="20">
        <f t="shared" si="15"/>
        <v>0</v>
      </c>
      <c r="M119" s="12"/>
      <c r="N119" s="12"/>
      <c r="Q119" s="49"/>
    </row>
    <row r="120" spans="1:17" ht="14.25" customHeight="1" outlineLevel="2" x14ac:dyDescent="0.25">
      <c r="A120" s="147"/>
      <c r="B120" s="14"/>
      <c r="C120" s="19"/>
      <c r="D120" s="19" t="s">
        <v>182</v>
      </c>
      <c r="E120" s="13" t="s">
        <v>141</v>
      </c>
      <c r="F120" s="13"/>
      <c r="G120" s="13"/>
      <c r="H120" s="20">
        <f>469.14*$N$3</f>
        <v>516.05399999999997</v>
      </c>
      <c r="I120" s="20">
        <f t="shared" si="13"/>
        <v>22</v>
      </c>
      <c r="J120" s="20"/>
      <c r="K120" s="20">
        <f t="shared" si="14"/>
        <v>0</v>
      </c>
      <c r="L120" s="20">
        <f t="shared" si="15"/>
        <v>0</v>
      </c>
      <c r="M120" s="12"/>
      <c r="N120" s="12"/>
      <c r="Q120" s="49"/>
    </row>
    <row r="121" spans="1:17" ht="14.25" customHeight="1" outlineLevel="2" x14ac:dyDescent="0.25">
      <c r="A121" s="147"/>
      <c r="B121" s="14"/>
      <c r="C121" s="19"/>
      <c r="D121" s="19" t="s">
        <v>183</v>
      </c>
      <c r="E121" s="13" t="s">
        <v>141</v>
      </c>
      <c r="F121" s="13"/>
      <c r="G121" s="13"/>
      <c r="H121" s="20">
        <f>612.46*$N$3</f>
        <v>673.70600000000002</v>
      </c>
      <c r="I121" s="20">
        <f t="shared" si="13"/>
        <v>22</v>
      </c>
      <c r="J121" s="20"/>
      <c r="K121" s="20">
        <f t="shared" si="14"/>
        <v>0</v>
      </c>
      <c r="L121" s="20">
        <f t="shared" si="15"/>
        <v>0</v>
      </c>
      <c r="M121" s="12"/>
      <c r="N121" s="12"/>
      <c r="Q121" s="49"/>
    </row>
    <row r="122" spans="1:17" ht="14.25" customHeight="1" outlineLevel="2" x14ac:dyDescent="0.25">
      <c r="A122" s="147"/>
      <c r="B122" s="14"/>
      <c r="C122" s="19"/>
      <c r="D122" s="19" t="s">
        <v>184</v>
      </c>
      <c r="E122" s="13" t="s">
        <v>141</v>
      </c>
      <c r="F122" s="13"/>
      <c r="G122" s="13"/>
      <c r="H122" s="20">
        <f>765.01*$N$3</f>
        <v>841.51099999999997</v>
      </c>
      <c r="I122" s="20">
        <f t="shared" si="13"/>
        <v>22</v>
      </c>
      <c r="J122" s="20"/>
      <c r="K122" s="20">
        <f t="shared" si="14"/>
        <v>0</v>
      </c>
      <c r="L122" s="20">
        <f t="shared" si="15"/>
        <v>0</v>
      </c>
      <c r="M122" s="12"/>
      <c r="N122" s="12"/>
      <c r="Q122" s="49"/>
    </row>
    <row r="123" spans="1:17" ht="14.25" customHeight="1" outlineLevel="1" x14ac:dyDescent="0.25">
      <c r="A123" s="147"/>
      <c r="B123" s="14">
        <v>4.3</v>
      </c>
      <c r="C123" s="19" t="s">
        <v>185</v>
      </c>
      <c r="D123" s="19"/>
      <c r="E123" s="13"/>
      <c r="F123" s="13"/>
      <c r="G123" s="13"/>
      <c r="H123" s="20"/>
      <c r="I123" s="20"/>
      <c r="J123" s="20"/>
      <c r="K123" s="20"/>
      <c r="L123" s="20"/>
      <c r="M123" s="12"/>
      <c r="N123" s="12"/>
      <c r="Q123" s="49"/>
    </row>
    <row r="124" spans="1:17" ht="13.95" customHeight="1" outlineLevel="2" x14ac:dyDescent="0.25">
      <c r="A124" s="147"/>
      <c r="B124" s="14"/>
      <c r="C124" s="19"/>
      <c r="D124" s="19" t="s">
        <v>186</v>
      </c>
      <c r="E124" s="13" t="s">
        <v>141</v>
      </c>
      <c r="F124" s="13"/>
      <c r="G124" s="13"/>
      <c r="H124" s="20">
        <f>217.68*$N$3</f>
        <v>239.44800000000001</v>
      </c>
      <c r="I124" s="20">
        <f t="shared" ref="I124:I130" si="16">30*$N$3</f>
        <v>33</v>
      </c>
      <c r="J124" s="20"/>
      <c r="K124" s="20">
        <f t="shared" si="14"/>
        <v>0</v>
      </c>
      <c r="L124" s="20">
        <f t="shared" si="15"/>
        <v>0</v>
      </c>
      <c r="M124" s="12"/>
      <c r="N124" s="12"/>
      <c r="Q124" s="49"/>
    </row>
    <row r="125" spans="1:17" ht="14.25" customHeight="1" outlineLevel="2" x14ac:dyDescent="0.25">
      <c r="A125" s="147"/>
      <c r="B125" s="14"/>
      <c r="C125" s="19"/>
      <c r="D125" s="19" t="s">
        <v>187</v>
      </c>
      <c r="E125" s="13" t="s">
        <v>141</v>
      </c>
      <c r="F125" s="13">
        <v>90</v>
      </c>
      <c r="G125" s="13"/>
      <c r="H125" s="20">
        <f>283.5*$N$3</f>
        <v>311.85000000000002</v>
      </c>
      <c r="I125" s="20">
        <f t="shared" si="16"/>
        <v>33</v>
      </c>
      <c r="J125" s="20"/>
      <c r="K125" s="20">
        <f t="shared" si="14"/>
        <v>28066.5</v>
      </c>
      <c r="L125" s="20">
        <f t="shared" si="15"/>
        <v>2970</v>
      </c>
      <c r="M125" s="12"/>
      <c r="N125" s="12"/>
      <c r="Q125" s="49"/>
    </row>
    <row r="126" spans="1:17" ht="14.25" customHeight="1" outlineLevel="2" x14ac:dyDescent="0.25">
      <c r="A126" s="147"/>
      <c r="B126" s="14"/>
      <c r="C126" s="19"/>
      <c r="D126" s="19" t="s">
        <v>188</v>
      </c>
      <c r="E126" s="13" t="s">
        <v>141</v>
      </c>
      <c r="F126" s="13"/>
      <c r="G126" s="13"/>
      <c r="H126" s="20">
        <f>346.56*$N$3</f>
        <v>381.21600000000001</v>
      </c>
      <c r="I126" s="20">
        <f t="shared" si="16"/>
        <v>33</v>
      </c>
      <c r="J126" s="20"/>
      <c r="K126" s="20">
        <f t="shared" si="14"/>
        <v>0</v>
      </c>
      <c r="L126" s="20">
        <f t="shared" si="15"/>
        <v>0</v>
      </c>
      <c r="M126" s="12"/>
      <c r="N126" s="12"/>
      <c r="Q126" s="49"/>
    </row>
    <row r="127" spans="1:17" ht="14.25" customHeight="1" outlineLevel="2" x14ac:dyDescent="0.25">
      <c r="A127" s="147"/>
      <c r="B127" s="30"/>
      <c r="C127" s="30"/>
      <c r="D127" s="19" t="s">
        <v>189</v>
      </c>
      <c r="E127" s="13" t="s">
        <v>141</v>
      </c>
      <c r="F127" s="13"/>
      <c r="G127" s="20"/>
      <c r="H127" s="20">
        <f>418.93*$N$3</f>
        <v>460.82299999999998</v>
      </c>
      <c r="I127" s="20">
        <f t="shared" si="16"/>
        <v>33</v>
      </c>
      <c r="J127" s="20"/>
      <c r="K127" s="20">
        <f t="shared" si="14"/>
        <v>0</v>
      </c>
      <c r="L127" s="20">
        <f t="shared" si="15"/>
        <v>0</v>
      </c>
      <c r="M127" s="12"/>
      <c r="N127" s="12"/>
      <c r="Q127" s="49"/>
    </row>
    <row r="128" spans="1:17" ht="14.25" customHeight="1" outlineLevel="2" x14ac:dyDescent="0.25">
      <c r="A128" s="147"/>
      <c r="B128" s="14"/>
      <c r="C128" s="19"/>
      <c r="D128" s="19" t="s">
        <v>190</v>
      </c>
      <c r="E128" s="13" t="s">
        <v>141</v>
      </c>
      <c r="F128" s="13"/>
      <c r="G128" s="20"/>
      <c r="H128" s="20">
        <f>510.51*$N$3</f>
        <v>561.56100000000004</v>
      </c>
      <c r="I128" s="20">
        <f t="shared" si="16"/>
        <v>33</v>
      </c>
      <c r="J128" s="20"/>
      <c r="K128" s="20">
        <f t="shared" si="14"/>
        <v>0</v>
      </c>
      <c r="L128" s="20">
        <f t="shared" si="15"/>
        <v>0</v>
      </c>
      <c r="M128" s="12"/>
      <c r="N128" s="12"/>
      <c r="Q128" s="49"/>
    </row>
    <row r="129" spans="1:17" ht="14.25" customHeight="1" outlineLevel="2" x14ac:dyDescent="0.25">
      <c r="A129" s="147"/>
      <c r="B129" s="14"/>
      <c r="C129" s="19"/>
      <c r="D129" s="19" t="s">
        <v>191</v>
      </c>
      <c r="E129" s="13" t="s">
        <v>141</v>
      </c>
      <c r="F129" s="13"/>
      <c r="G129" s="20"/>
      <c r="H129" s="20">
        <f>647.91*$N$3</f>
        <v>712.70100000000002</v>
      </c>
      <c r="I129" s="20">
        <f t="shared" si="16"/>
        <v>33</v>
      </c>
      <c r="J129" s="20"/>
      <c r="K129" s="20">
        <f t="shared" si="14"/>
        <v>0</v>
      </c>
      <c r="L129" s="20">
        <f t="shared" si="15"/>
        <v>0</v>
      </c>
      <c r="M129" s="12"/>
      <c r="N129" s="12"/>
      <c r="Q129" s="49"/>
    </row>
    <row r="130" spans="1:17" ht="14.25" customHeight="1" outlineLevel="2" x14ac:dyDescent="0.25">
      <c r="A130" s="147"/>
      <c r="B130" s="14"/>
      <c r="C130" s="19"/>
      <c r="D130" s="19" t="s">
        <v>192</v>
      </c>
      <c r="E130" s="13" t="s">
        <v>141</v>
      </c>
      <c r="F130" s="13"/>
      <c r="G130" s="13"/>
      <c r="H130" s="20">
        <f>804.7*$N$3</f>
        <v>885.17</v>
      </c>
      <c r="I130" s="20">
        <f t="shared" si="16"/>
        <v>33</v>
      </c>
      <c r="J130" s="20"/>
      <c r="K130" s="20">
        <f t="shared" si="14"/>
        <v>0</v>
      </c>
      <c r="L130" s="20">
        <f t="shared" si="15"/>
        <v>0</v>
      </c>
      <c r="M130" s="12"/>
      <c r="N130" s="12"/>
      <c r="Q130" s="49"/>
    </row>
    <row r="131" spans="1:17" ht="14.25" customHeight="1" outlineLevel="2" x14ac:dyDescent="0.25">
      <c r="A131" s="147"/>
      <c r="B131" s="14"/>
      <c r="C131" s="19"/>
      <c r="D131" s="19" t="s">
        <v>193</v>
      </c>
      <c r="E131" s="13" t="s">
        <v>141</v>
      </c>
      <c r="F131" s="13"/>
      <c r="G131" s="20"/>
      <c r="H131" s="20">
        <f>413.7*$N$3</f>
        <v>455.07</v>
      </c>
      <c r="I131" s="20">
        <f>50*$N$3</f>
        <v>55</v>
      </c>
      <c r="J131" s="20"/>
      <c r="K131" s="20">
        <f t="shared" si="14"/>
        <v>0</v>
      </c>
      <c r="L131" s="20">
        <f t="shared" si="15"/>
        <v>0</v>
      </c>
      <c r="M131" s="12"/>
      <c r="N131" s="12"/>
      <c r="Q131" s="49"/>
    </row>
    <row r="132" spans="1:17" ht="14.25" customHeight="1" outlineLevel="2" x14ac:dyDescent="0.25">
      <c r="A132" s="147"/>
      <c r="B132" s="14"/>
      <c r="C132" s="19"/>
      <c r="D132" s="19" t="s">
        <v>194</v>
      </c>
      <c r="E132" s="13" t="s">
        <v>141</v>
      </c>
      <c r="F132" s="13"/>
      <c r="G132" s="20"/>
      <c r="H132" s="20">
        <f>490.12*$N$3</f>
        <v>539.13199999999995</v>
      </c>
      <c r="I132" s="20">
        <f>50*$N$3</f>
        <v>55</v>
      </c>
      <c r="J132" s="20"/>
      <c r="K132" s="20">
        <f t="shared" si="14"/>
        <v>0</v>
      </c>
      <c r="L132" s="20">
        <f t="shared" si="15"/>
        <v>0</v>
      </c>
      <c r="M132" s="12"/>
      <c r="N132" s="12"/>
      <c r="Q132" s="49"/>
    </row>
    <row r="133" spans="1:17" ht="14.25" customHeight="1" outlineLevel="2" x14ac:dyDescent="0.25">
      <c r="A133" s="147"/>
      <c r="B133" s="14"/>
      <c r="C133" s="19"/>
      <c r="D133" s="19" t="s">
        <v>195</v>
      </c>
      <c r="E133" s="13" t="s">
        <v>141</v>
      </c>
      <c r="F133" s="13"/>
      <c r="G133" s="20"/>
      <c r="H133" s="20">
        <f>583.92*$N$3</f>
        <v>642.31200000000001</v>
      </c>
      <c r="I133" s="20">
        <f>50*$N$3</f>
        <v>55</v>
      </c>
      <c r="J133" s="20"/>
      <c r="K133" s="20">
        <f t="shared" si="14"/>
        <v>0</v>
      </c>
      <c r="L133" s="20">
        <f t="shared" si="15"/>
        <v>0</v>
      </c>
      <c r="M133" s="12"/>
      <c r="N133" s="12"/>
      <c r="Q133" s="49"/>
    </row>
    <row r="134" spans="1:17" ht="14.25" customHeight="1" outlineLevel="1" x14ac:dyDescent="0.25">
      <c r="A134" s="147"/>
      <c r="B134" s="14">
        <v>4.4000000000000004</v>
      </c>
      <c r="C134" s="19" t="s">
        <v>196</v>
      </c>
      <c r="D134" s="19"/>
      <c r="E134" s="13"/>
      <c r="F134" s="13"/>
      <c r="G134" s="20"/>
      <c r="H134" s="42"/>
      <c r="I134" s="20"/>
      <c r="J134" s="20"/>
      <c r="K134" s="20"/>
      <c r="L134" s="20"/>
      <c r="M134" s="12"/>
      <c r="N134" s="12"/>
      <c r="Q134" s="49"/>
    </row>
    <row r="135" spans="1:17" ht="14.25" customHeight="1" outlineLevel="2" x14ac:dyDescent="0.25">
      <c r="A135" s="147"/>
      <c r="B135" s="14"/>
      <c r="C135" s="19" t="s">
        <v>197</v>
      </c>
      <c r="D135" s="19" t="s">
        <v>198</v>
      </c>
      <c r="E135" s="13" t="s">
        <v>50</v>
      </c>
      <c r="F135" s="13"/>
      <c r="G135" s="20"/>
      <c r="H135" s="20">
        <f>500*$N$3</f>
        <v>550</v>
      </c>
      <c r="I135" s="20">
        <f>200*$N$3</f>
        <v>220</v>
      </c>
      <c r="J135" s="20"/>
      <c r="K135" s="20">
        <f t="shared" si="14"/>
        <v>0</v>
      </c>
      <c r="L135" s="20">
        <f t="shared" si="15"/>
        <v>0</v>
      </c>
      <c r="M135" s="12"/>
      <c r="N135" s="12"/>
      <c r="Q135" s="49"/>
    </row>
    <row r="136" spans="1:17" ht="14.25" customHeight="1" outlineLevel="2" x14ac:dyDescent="0.25">
      <c r="A136" s="147"/>
      <c r="B136" s="14"/>
      <c r="C136" s="19" t="s">
        <v>199</v>
      </c>
      <c r="D136" s="19"/>
      <c r="E136" s="43" t="s">
        <v>50</v>
      </c>
      <c r="F136" s="13">
        <v>2</v>
      </c>
      <c r="G136" s="20"/>
      <c r="H136" s="20">
        <f>200*$N$3</f>
        <v>220</v>
      </c>
      <c r="I136" s="20">
        <f>200*$N$3</f>
        <v>220</v>
      </c>
      <c r="J136" s="20"/>
      <c r="K136" s="20">
        <f t="shared" si="14"/>
        <v>440</v>
      </c>
      <c r="L136" s="20">
        <f t="shared" si="15"/>
        <v>440</v>
      </c>
      <c r="M136" s="12"/>
      <c r="N136" s="12"/>
      <c r="Q136" s="49"/>
    </row>
    <row r="137" spans="1:17" ht="14.25" customHeight="1" outlineLevel="1" x14ac:dyDescent="0.25">
      <c r="A137" s="147"/>
      <c r="B137" s="14">
        <v>4.5</v>
      </c>
      <c r="C137" s="19" t="s">
        <v>200</v>
      </c>
      <c r="D137" s="19"/>
      <c r="E137" s="13"/>
      <c r="F137" s="13"/>
      <c r="G137" s="20"/>
      <c r="H137" s="20"/>
      <c r="I137" s="20"/>
      <c r="J137" s="20"/>
      <c r="K137" s="20"/>
      <c r="L137" s="20"/>
      <c r="M137" s="12"/>
      <c r="N137" s="12"/>
      <c r="Q137" s="49"/>
    </row>
    <row r="138" spans="1:17" ht="12" outlineLevel="2" x14ac:dyDescent="0.25">
      <c r="A138" s="147"/>
      <c r="B138" s="14"/>
      <c r="C138" s="19" t="s">
        <v>201</v>
      </c>
      <c r="D138" s="21" t="s">
        <v>202</v>
      </c>
      <c r="E138" s="13" t="s">
        <v>141</v>
      </c>
      <c r="F138" s="32">
        <v>40</v>
      </c>
      <c r="G138" s="20"/>
      <c r="H138" s="20">
        <f>3*$N$3</f>
        <v>3.3</v>
      </c>
      <c r="I138" s="20">
        <f>8*$N$3</f>
        <v>8.8000000000000007</v>
      </c>
      <c r="J138" s="20"/>
      <c r="K138" s="20">
        <f t="shared" si="14"/>
        <v>132</v>
      </c>
      <c r="L138" s="20">
        <f t="shared" si="15"/>
        <v>352</v>
      </c>
      <c r="M138" s="12"/>
      <c r="N138" s="12"/>
      <c r="Q138" s="49"/>
    </row>
    <row r="139" spans="1:17" ht="12" outlineLevel="2" x14ac:dyDescent="0.25">
      <c r="A139" s="147"/>
      <c r="B139" s="14"/>
      <c r="C139" s="19" t="s">
        <v>203</v>
      </c>
      <c r="D139" s="21" t="s">
        <v>204</v>
      </c>
      <c r="E139" s="13" t="s">
        <v>141</v>
      </c>
      <c r="F139" s="32"/>
      <c r="G139" s="20"/>
      <c r="H139" s="20">
        <f>190*$N$3</f>
        <v>209</v>
      </c>
      <c r="I139" s="20">
        <f>15*$N$3</f>
        <v>16.5</v>
      </c>
      <c r="J139" s="20"/>
      <c r="K139" s="20">
        <f t="shared" si="14"/>
        <v>0</v>
      </c>
      <c r="L139" s="20">
        <f t="shared" si="15"/>
        <v>0</v>
      </c>
      <c r="M139" s="12"/>
      <c r="N139" s="12"/>
      <c r="Q139" s="49"/>
    </row>
    <row r="140" spans="1:17" ht="12" outlineLevel="2" x14ac:dyDescent="0.25">
      <c r="A140" s="147"/>
      <c r="B140" s="14"/>
      <c r="C140" s="19" t="s">
        <v>203</v>
      </c>
      <c r="D140" s="21" t="s">
        <v>205</v>
      </c>
      <c r="E140" s="13" t="s">
        <v>141</v>
      </c>
      <c r="F140" s="13"/>
      <c r="G140" s="20"/>
      <c r="H140" s="20">
        <f>280*$N$3</f>
        <v>308</v>
      </c>
      <c r="I140" s="20">
        <f>15*$N$3</f>
        <v>16.5</v>
      </c>
      <c r="J140" s="20"/>
      <c r="K140" s="20">
        <f t="shared" si="14"/>
        <v>0</v>
      </c>
      <c r="L140" s="20">
        <f t="shared" si="15"/>
        <v>0</v>
      </c>
      <c r="M140" s="12"/>
      <c r="N140" s="12"/>
      <c r="Q140" s="49"/>
    </row>
    <row r="141" spans="1:17" ht="12" outlineLevel="2" x14ac:dyDescent="0.25">
      <c r="A141" s="147"/>
      <c r="B141" s="14"/>
      <c r="C141" s="19" t="s">
        <v>206</v>
      </c>
      <c r="D141" s="33" t="s">
        <v>207</v>
      </c>
      <c r="E141" s="13" t="s">
        <v>141</v>
      </c>
      <c r="F141" s="13"/>
      <c r="G141" s="20"/>
      <c r="H141" s="20">
        <f>32*$N$3</f>
        <v>35.200000000000003</v>
      </c>
      <c r="I141" s="20">
        <f>17*$N$3</f>
        <v>18.7</v>
      </c>
      <c r="J141" s="20"/>
      <c r="K141" s="20">
        <f t="shared" si="14"/>
        <v>0</v>
      </c>
      <c r="L141" s="20">
        <f t="shared" si="15"/>
        <v>0</v>
      </c>
      <c r="M141" s="12"/>
      <c r="N141" s="12"/>
      <c r="Q141" s="49"/>
    </row>
    <row r="142" spans="1:17" ht="12" outlineLevel="2" x14ac:dyDescent="0.25">
      <c r="A142" s="147"/>
      <c r="B142" s="14"/>
      <c r="C142" s="19" t="s">
        <v>206</v>
      </c>
      <c r="D142" s="33" t="s">
        <v>208</v>
      </c>
      <c r="E142" s="13" t="s">
        <v>141</v>
      </c>
      <c r="F142" s="13">
        <v>10</v>
      </c>
      <c r="G142" s="20"/>
      <c r="H142" s="20">
        <f>60*$N$3</f>
        <v>66</v>
      </c>
      <c r="I142" s="20">
        <f>28*$N$3</f>
        <v>30.8</v>
      </c>
      <c r="J142" s="20"/>
      <c r="K142" s="20">
        <f t="shared" si="14"/>
        <v>660</v>
      </c>
      <c r="L142" s="20">
        <f t="shared" si="15"/>
        <v>308</v>
      </c>
      <c r="M142" s="12"/>
      <c r="N142" s="12"/>
      <c r="Q142" s="49"/>
    </row>
    <row r="143" spans="1:17" ht="12" outlineLevel="2" x14ac:dyDescent="0.25">
      <c r="A143" s="147"/>
      <c r="B143" s="14"/>
      <c r="C143" s="19" t="s">
        <v>206</v>
      </c>
      <c r="D143" s="33" t="s">
        <v>209</v>
      </c>
      <c r="E143" s="13" t="s">
        <v>141</v>
      </c>
      <c r="F143" s="13"/>
      <c r="G143" s="20"/>
      <c r="H143" s="20">
        <f>85*$N$3</f>
        <v>93.5</v>
      </c>
      <c r="I143" s="20">
        <f>32*$N$3</f>
        <v>35.200000000000003</v>
      </c>
      <c r="J143" s="20"/>
      <c r="K143" s="20">
        <f t="shared" si="14"/>
        <v>0</v>
      </c>
      <c r="L143" s="20">
        <f t="shared" si="15"/>
        <v>0</v>
      </c>
      <c r="M143" s="12"/>
      <c r="N143" s="12"/>
      <c r="Q143" s="49"/>
    </row>
    <row r="144" spans="1:17" ht="12" outlineLevel="2" x14ac:dyDescent="0.25">
      <c r="A144" s="147"/>
      <c r="B144" s="14"/>
      <c r="C144" s="19" t="s">
        <v>206</v>
      </c>
      <c r="D144" s="33" t="s">
        <v>210</v>
      </c>
      <c r="E144" s="13" t="s">
        <v>141</v>
      </c>
      <c r="F144" s="13"/>
      <c r="G144" s="20"/>
      <c r="H144" s="20">
        <f>110*$N$3</f>
        <v>121</v>
      </c>
      <c r="I144" s="20">
        <f>37*$N$3</f>
        <v>40.700000000000003</v>
      </c>
      <c r="J144" s="20"/>
      <c r="K144" s="20">
        <f t="shared" si="14"/>
        <v>0</v>
      </c>
      <c r="L144" s="20">
        <f t="shared" si="15"/>
        <v>0</v>
      </c>
      <c r="M144" s="12"/>
      <c r="N144" s="12"/>
      <c r="Q144" s="49"/>
    </row>
    <row r="145" spans="1:17" ht="14.25" customHeight="1" outlineLevel="1" x14ac:dyDescent="0.25">
      <c r="A145" s="147"/>
      <c r="B145" s="14">
        <v>4.5999999999999996</v>
      </c>
      <c r="C145" s="19" t="s">
        <v>211</v>
      </c>
      <c r="D145" s="33"/>
      <c r="E145" s="13"/>
      <c r="F145" s="13"/>
      <c r="G145" s="20"/>
      <c r="H145" s="20"/>
      <c r="I145" s="20"/>
      <c r="J145" s="20"/>
      <c r="K145" s="20"/>
      <c r="L145" s="20"/>
      <c r="M145" s="12"/>
      <c r="N145" s="12"/>
      <c r="Q145" s="49"/>
    </row>
    <row r="146" spans="1:17" ht="12" outlineLevel="2" x14ac:dyDescent="0.25">
      <c r="A146" s="147"/>
      <c r="B146" s="14"/>
      <c r="C146" s="19" t="s">
        <v>212</v>
      </c>
      <c r="D146" s="21" t="s">
        <v>213</v>
      </c>
      <c r="E146" s="13" t="s">
        <v>141</v>
      </c>
      <c r="F146" s="13">
        <v>10</v>
      </c>
      <c r="G146" s="20"/>
      <c r="H146" s="20">
        <f>14*$N$3</f>
        <v>15.4</v>
      </c>
      <c r="I146" s="20">
        <f>20*$N$3</f>
        <v>22</v>
      </c>
      <c r="J146" s="20"/>
      <c r="K146" s="20">
        <f t="shared" si="14"/>
        <v>154</v>
      </c>
      <c r="L146" s="20">
        <f t="shared" si="15"/>
        <v>220</v>
      </c>
      <c r="M146" s="12"/>
      <c r="N146" s="12"/>
      <c r="Q146" s="49"/>
    </row>
    <row r="147" spans="1:17" ht="12" outlineLevel="2" x14ac:dyDescent="0.25">
      <c r="A147" s="147"/>
      <c r="B147" s="14"/>
      <c r="C147" s="19" t="s">
        <v>214</v>
      </c>
      <c r="D147" s="21" t="s">
        <v>215</v>
      </c>
      <c r="E147" s="13" t="s">
        <v>141</v>
      </c>
      <c r="F147" s="13"/>
      <c r="G147" s="20"/>
      <c r="H147" s="20">
        <f>29*$N$3</f>
        <v>31.9</v>
      </c>
      <c r="I147" s="20">
        <f>20*$N$3</f>
        <v>22</v>
      </c>
      <c r="J147" s="20"/>
      <c r="K147" s="20">
        <f t="shared" si="14"/>
        <v>0</v>
      </c>
      <c r="L147" s="20">
        <f t="shared" si="15"/>
        <v>0</v>
      </c>
      <c r="M147" s="12"/>
      <c r="N147" s="12"/>
      <c r="Q147" s="49"/>
    </row>
    <row r="148" spans="1:17" ht="12" outlineLevel="2" x14ac:dyDescent="0.25">
      <c r="A148" s="147"/>
      <c r="B148" s="14"/>
      <c r="C148" s="19" t="s">
        <v>214</v>
      </c>
      <c r="D148" s="21" t="s">
        <v>216</v>
      </c>
      <c r="E148" s="13" t="s">
        <v>141</v>
      </c>
      <c r="F148" s="13"/>
      <c r="G148" s="20"/>
      <c r="H148" s="20">
        <f>37*$N$3</f>
        <v>40.700000000000003</v>
      </c>
      <c r="I148" s="20">
        <f>20*$N$3</f>
        <v>22</v>
      </c>
      <c r="J148" s="20"/>
      <c r="K148" s="20">
        <f t="shared" si="14"/>
        <v>0</v>
      </c>
      <c r="L148" s="20">
        <f t="shared" si="15"/>
        <v>0</v>
      </c>
      <c r="M148" s="12"/>
      <c r="N148" s="12"/>
      <c r="Q148" s="49"/>
    </row>
    <row r="149" spans="1:17" ht="12" outlineLevel="2" x14ac:dyDescent="0.25">
      <c r="A149" s="147"/>
      <c r="B149" s="14"/>
      <c r="C149" s="19" t="s">
        <v>214</v>
      </c>
      <c r="D149" s="21" t="s">
        <v>217</v>
      </c>
      <c r="E149" s="13" t="s">
        <v>141</v>
      </c>
      <c r="F149" s="13"/>
      <c r="G149" s="20"/>
      <c r="H149" s="20">
        <f>52*$N$3</f>
        <v>57.2</v>
      </c>
      <c r="I149" s="20">
        <f>20*$N$3</f>
        <v>22</v>
      </c>
      <c r="J149" s="20"/>
      <c r="K149" s="20">
        <f t="shared" si="14"/>
        <v>0</v>
      </c>
      <c r="L149" s="20">
        <f t="shared" si="15"/>
        <v>0</v>
      </c>
      <c r="M149" s="12"/>
      <c r="N149" s="12"/>
      <c r="Q149" s="49"/>
    </row>
    <row r="150" spans="1:17" ht="12" outlineLevel="2" x14ac:dyDescent="0.25">
      <c r="A150" s="147"/>
      <c r="B150" s="14"/>
      <c r="C150" s="19" t="s">
        <v>214</v>
      </c>
      <c r="D150" s="21" t="s">
        <v>218</v>
      </c>
      <c r="E150" s="13" t="s">
        <v>141</v>
      </c>
      <c r="F150" s="13"/>
      <c r="G150" s="20"/>
      <c r="H150" s="20">
        <f>61*$N$3</f>
        <v>67.099999999999994</v>
      </c>
      <c r="I150" s="20">
        <f>20*$N$3</f>
        <v>22</v>
      </c>
      <c r="J150" s="20"/>
      <c r="K150" s="20">
        <f t="shared" si="14"/>
        <v>0</v>
      </c>
      <c r="L150" s="20">
        <f t="shared" si="15"/>
        <v>0</v>
      </c>
      <c r="M150" s="12"/>
      <c r="N150" s="12"/>
      <c r="Q150" s="49"/>
    </row>
    <row r="151" spans="1:17" ht="12" outlineLevel="2" x14ac:dyDescent="0.25">
      <c r="A151" s="147"/>
      <c r="B151" s="14"/>
      <c r="C151" s="19" t="s">
        <v>214</v>
      </c>
      <c r="D151" s="21" t="s">
        <v>219</v>
      </c>
      <c r="E151" s="13" t="s">
        <v>141</v>
      </c>
      <c r="F151" s="13"/>
      <c r="G151" s="20"/>
      <c r="H151" s="20">
        <f>89*$N$3</f>
        <v>97.9</v>
      </c>
      <c r="I151" s="20">
        <f>25*$N$3</f>
        <v>27.5</v>
      </c>
      <c r="J151" s="20"/>
      <c r="K151" s="20">
        <f t="shared" si="14"/>
        <v>0</v>
      </c>
      <c r="L151" s="20">
        <f t="shared" si="15"/>
        <v>0</v>
      </c>
      <c r="M151" s="12"/>
      <c r="N151" s="12"/>
      <c r="Q151" s="49"/>
    </row>
    <row r="152" spans="1:17" ht="12" outlineLevel="2" x14ac:dyDescent="0.25">
      <c r="A152" s="147"/>
      <c r="B152" s="14"/>
      <c r="C152" s="19" t="s">
        <v>214</v>
      </c>
      <c r="D152" s="21" t="s">
        <v>220</v>
      </c>
      <c r="E152" s="13" t="s">
        <v>141</v>
      </c>
      <c r="F152" s="13"/>
      <c r="G152" s="20"/>
      <c r="H152" s="20">
        <f>93*$N$3</f>
        <v>102.3</v>
      </c>
      <c r="I152" s="20">
        <f>25*$N$3</f>
        <v>27.5</v>
      </c>
      <c r="J152" s="20"/>
      <c r="K152" s="20">
        <f t="shared" si="14"/>
        <v>0</v>
      </c>
      <c r="L152" s="20">
        <f t="shared" si="15"/>
        <v>0</v>
      </c>
      <c r="M152" s="12"/>
      <c r="N152" s="12"/>
      <c r="Q152" s="49"/>
    </row>
    <row r="153" spans="1:17" ht="12" outlineLevel="2" x14ac:dyDescent="0.25">
      <c r="A153" s="147"/>
      <c r="B153" s="14"/>
      <c r="C153" s="19" t="s">
        <v>214</v>
      </c>
      <c r="D153" s="21" t="s">
        <v>221</v>
      </c>
      <c r="E153" s="13" t="s">
        <v>141</v>
      </c>
      <c r="F153" s="13"/>
      <c r="G153" s="20"/>
      <c r="H153" s="20">
        <f>141*$N$3</f>
        <v>155.1</v>
      </c>
      <c r="I153" s="20">
        <f>25*$N$3</f>
        <v>27.5</v>
      </c>
      <c r="J153" s="20"/>
      <c r="K153" s="20">
        <f t="shared" si="14"/>
        <v>0</v>
      </c>
      <c r="L153" s="20">
        <f t="shared" si="15"/>
        <v>0</v>
      </c>
      <c r="M153" s="12"/>
      <c r="N153" s="12"/>
      <c r="Q153" s="49"/>
    </row>
    <row r="154" spans="1:17" ht="12" outlineLevel="2" x14ac:dyDescent="0.25">
      <c r="A154" s="147"/>
      <c r="B154" s="14"/>
      <c r="C154" s="19" t="s">
        <v>222</v>
      </c>
      <c r="D154" s="21" t="s">
        <v>216</v>
      </c>
      <c r="E154" s="13" t="s">
        <v>141</v>
      </c>
      <c r="F154" s="13"/>
      <c r="G154" s="20"/>
      <c r="H154" s="20">
        <f>52*$N$3</f>
        <v>57.2</v>
      </c>
      <c r="I154" s="20">
        <f>20*$N$3</f>
        <v>22</v>
      </c>
      <c r="J154" s="20"/>
      <c r="K154" s="20">
        <f t="shared" si="14"/>
        <v>0</v>
      </c>
      <c r="L154" s="20">
        <f t="shared" si="15"/>
        <v>0</v>
      </c>
      <c r="M154" s="12"/>
      <c r="N154" s="12"/>
      <c r="Q154" s="49"/>
    </row>
    <row r="155" spans="1:17" ht="12" outlineLevel="2" x14ac:dyDescent="0.25">
      <c r="A155" s="147"/>
      <c r="B155" s="14"/>
      <c r="C155" s="19" t="s">
        <v>222</v>
      </c>
      <c r="D155" s="21" t="s">
        <v>217</v>
      </c>
      <c r="E155" s="13" t="s">
        <v>141</v>
      </c>
      <c r="F155" s="13"/>
      <c r="G155" s="20"/>
      <c r="H155" s="20">
        <f>65*$N$3</f>
        <v>71.5</v>
      </c>
      <c r="I155" s="20">
        <f>20*$N$3</f>
        <v>22</v>
      </c>
      <c r="J155" s="20"/>
      <c r="K155" s="20">
        <f t="shared" si="14"/>
        <v>0</v>
      </c>
      <c r="L155" s="20">
        <f t="shared" si="15"/>
        <v>0</v>
      </c>
      <c r="M155" s="12"/>
      <c r="N155" s="12"/>
      <c r="Q155" s="49"/>
    </row>
    <row r="156" spans="1:17" ht="12" outlineLevel="2" x14ac:dyDescent="0.25">
      <c r="A156" s="147"/>
      <c r="B156" s="14"/>
      <c r="C156" s="19" t="s">
        <v>222</v>
      </c>
      <c r="D156" s="21" t="s">
        <v>223</v>
      </c>
      <c r="E156" s="13" t="s">
        <v>141</v>
      </c>
      <c r="F156" s="13"/>
      <c r="G156" s="20"/>
      <c r="H156" s="20">
        <f>84*$N$3</f>
        <v>92.4</v>
      </c>
      <c r="I156" s="20">
        <f>25*$N$3</f>
        <v>27.5</v>
      </c>
      <c r="J156" s="20"/>
      <c r="K156" s="20">
        <f t="shared" si="14"/>
        <v>0</v>
      </c>
      <c r="L156" s="20">
        <f t="shared" si="15"/>
        <v>0</v>
      </c>
      <c r="M156" s="12"/>
      <c r="N156" s="12"/>
      <c r="Q156" s="49"/>
    </row>
    <row r="157" spans="1:17" ht="12" outlineLevel="2" x14ac:dyDescent="0.25">
      <c r="A157" s="147"/>
      <c r="B157" s="14"/>
      <c r="C157" s="19" t="s">
        <v>222</v>
      </c>
      <c r="D157" s="21" t="s">
        <v>224</v>
      </c>
      <c r="E157" s="13" t="s">
        <v>141</v>
      </c>
      <c r="F157" s="13"/>
      <c r="G157" s="20"/>
      <c r="H157" s="20">
        <f>90*$N$3</f>
        <v>99</v>
      </c>
      <c r="I157" s="20">
        <f>25*$N$3</f>
        <v>27.5</v>
      </c>
      <c r="J157" s="20"/>
      <c r="K157" s="20">
        <f t="shared" si="14"/>
        <v>0</v>
      </c>
      <c r="L157" s="20">
        <f t="shared" si="15"/>
        <v>0</v>
      </c>
      <c r="M157" s="12"/>
      <c r="N157" s="12"/>
      <c r="Q157" s="49"/>
    </row>
    <row r="158" spans="1:17" ht="12" outlineLevel="2" x14ac:dyDescent="0.25">
      <c r="A158" s="147"/>
      <c r="B158" s="14"/>
      <c r="C158" s="19" t="s">
        <v>222</v>
      </c>
      <c r="D158" s="21" t="s">
        <v>225</v>
      </c>
      <c r="E158" s="13" t="s">
        <v>141</v>
      </c>
      <c r="F158" s="13"/>
      <c r="G158" s="20"/>
      <c r="H158" s="20">
        <f>105*$N$3</f>
        <v>115.5</v>
      </c>
      <c r="I158" s="20">
        <f>25*$N$3</f>
        <v>27.5</v>
      </c>
      <c r="J158" s="20"/>
      <c r="K158" s="20">
        <f t="shared" si="14"/>
        <v>0</v>
      </c>
      <c r="L158" s="20">
        <f t="shared" si="15"/>
        <v>0</v>
      </c>
      <c r="M158" s="12"/>
      <c r="N158" s="12"/>
      <c r="Q158" s="49"/>
    </row>
    <row r="159" spans="1:17" ht="12" outlineLevel="2" x14ac:dyDescent="0.25">
      <c r="A159" s="147"/>
      <c r="B159" s="14"/>
      <c r="C159" s="19" t="s">
        <v>222</v>
      </c>
      <c r="D159" s="21" t="s">
        <v>221</v>
      </c>
      <c r="E159" s="13" t="s">
        <v>141</v>
      </c>
      <c r="F159" s="13"/>
      <c r="G159" s="30"/>
      <c r="H159" s="20">
        <f>125*$N$3</f>
        <v>137.5</v>
      </c>
      <c r="I159" s="20">
        <f>25*$N$3</f>
        <v>27.5</v>
      </c>
      <c r="J159" s="20"/>
      <c r="K159" s="20">
        <f t="shared" si="14"/>
        <v>0</v>
      </c>
      <c r="L159" s="20">
        <f t="shared" si="15"/>
        <v>0</v>
      </c>
      <c r="M159" s="12"/>
      <c r="N159" s="12"/>
      <c r="Q159" s="49"/>
    </row>
    <row r="160" spans="1:17" ht="12" outlineLevel="2" x14ac:dyDescent="0.25">
      <c r="A160" s="147"/>
      <c r="B160" s="14"/>
      <c r="C160" s="19" t="s">
        <v>226</v>
      </c>
      <c r="D160" s="21"/>
      <c r="E160" s="13" t="s">
        <v>50</v>
      </c>
      <c r="F160" s="13"/>
      <c r="G160" s="20"/>
      <c r="H160" s="20">
        <f>100*$N$3</f>
        <v>110</v>
      </c>
      <c r="I160" s="20">
        <f>50*$N$3</f>
        <v>55</v>
      </c>
      <c r="J160" s="20"/>
      <c r="K160" s="20">
        <f t="shared" si="14"/>
        <v>0</v>
      </c>
      <c r="L160" s="20">
        <f t="shared" si="15"/>
        <v>0</v>
      </c>
      <c r="M160" s="12"/>
      <c r="N160" s="12"/>
      <c r="Q160" s="49"/>
    </row>
    <row r="161" spans="1:17" ht="14.25" customHeight="1" x14ac:dyDescent="0.25">
      <c r="A161" s="147"/>
      <c r="B161" s="17">
        <v>5</v>
      </c>
      <c r="C161" s="18" t="s">
        <v>227</v>
      </c>
      <c r="D161" s="48"/>
      <c r="E161" s="48"/>
      <c r="F161" s="48"/>
      <c r="G161" s="20"/>
      <c r="H161" s="20"/>
      <c r="I161" s="20"/>
      <c r="J161" s="20"/>
      <c r="K161" s="20"/>
      <c r="L161" s="20"/>
      <c r="M161" s="12"/>
      <c r="N161" s="12"/>
      <c r="Q161" s="49"/>
    </row>
    <row r="162" spans="1:17" ht="14.25" customHeight="1" outlineLevel="1" x14ac:dyDescent="0.25">
      <c r="A162" s="147"/>
      <c r="B162" s="14">
        <v>5.0999999999999996</v>
      </c>
      <c r="C162" s="19" t="s">
        <v>228</v>
      </c>
      <c r="D162" s="19"/>
      <c r="E162" s="13"/>
      <c r="F162" s="13"/>
      <c r="G162" s="20"/>
      <c r="H162" s="20"/>
      <c r="I162" s="20"/>
      <c r="J162" s="20"/>
      <c r="K162" s="20"/>
      <c r="L162" s="20"/>
      <c r="M162" s="12"/>
      <c r="N162" s="12"/>
      <c r="Q162" s="49"/>
    </row>
    <row r="163" spans="1:17" ht="14.25" customHeight="1" outlineLevel="2" x14ac:dyDescent="0.25">
      <c r="A163" s="147"/>
      <c r="B163" s="14"/>
      <c r="C163" s="19" t="s">
        <v>229</v>
      </c>
      <c r="D163" s="19" t="s">
        <v>230</v>
      </c>
      <c r="E163" s="13" t="s">
        <v>141</v>
      </c>
      <c r="F163" s="32">
        <v>15</v>
      </c>
      <c r="G163" s="20"/>
      <c r="H163" s="20">
        <f>16*$N$3</f>
        <v>17.600000000000001</v>
      </c>
      <c r="I163" s="20">
        <f>10*$N$3</f>
        <v>11</v>
      </c>
      <c r="J163" s="20"/>
      <c r="K163" s="20">
        <f>F163*H163</f>
        <v>264</v>
      </c>
      <c r="L163" s="20">
        <f t="shared" ref="L163:L212" si="17">F163*I163</f>
        <v>165</v>
      </c>
      <c r="M163" s="12"/>
      <c r="N163" s="12"/>
      <c r="Q163" s="49"/>
    </row>
    <row r="164" spans="1:17" ht="15.45" customHeight="1" outlineLevel="2" x14ac:dyDescent="0.25">
      <c r="A164" s="147"/>
      <c r="B164" s="14"/>
      <c r="C164" s="19" t="s">
        <v>229</v>
      </c>
      <c r="D164" s="19" t="s">
        <v>231</v>
      </c>
      <c r="E164" s="13" t="s">
        <v>141</v>
      </c>
      <c r="F164" s="32"/>
      <c r="G164" s="20"/>
      <c r="H164" s="20">
        <f>20*$N$3</f>
        <v>22</v>
      </c>
      <c r="I164" s="20">
        <f>12*$N$3</f>
        <v>13.2</v>
      </c>
      <c r="J164" s="20"/>
      <c r="K164" s="20">
        <f>F164*H164</f>
        <v>0</v>
      </c>
      <c r="L164" s="20">
        <f t="shared" si="17"/>
        <v>0</v>
      </c>
      <c r="M164" s="12"/>
      <c r="N164" s="12"/>
      <c r="Q164" s="49"/>
    </row>
    <row r="165" spans="1:17" ht="15.45" customHeight="1" outlineLevel="2" x14ac:dyDescent="0.25">
      <c r="A165" s="147"/>
      <c r="B165" s="14"/>
      <c r="C165" s="19" t="s">
        <v>232</v>
      </c>
      <c r="D165" s="19" t="s">
        <v>233</v>
      </c>
      <c r="E165" s="13" t="s">
        <v>141</v>
      </c>
      <c r="F165" s="32">
        <v>10</v>
      </c>
      <c r="G165" s="20"/>
      <c r="H165" s="20">
        <f>3.8*$N$3</f>
        <v>4.18</v>
      </c>
      <c r="I165" s="20">
        <f>5*$N$3</f>
        <v>5.5</v>
      </c>
      <c r="J165" s="20"/>
      <c r="K165" s="20">
        <f>F165*H165</f>
        <v>41.8</v>
      </c>
      <c r="L165" s="20">
        <f t="shared" si="17"/>
        <v>55</v>
      </c>
      <c r="M165" s="12"/>
      <c r="N165" s="12"/>
      <c r="Q165" s="49"/>
    </row>
    <row r="166" spans="1:17" ht="15.45" customHeight="1" outlineLevel="2" x14ac:dyDescent="0.25">
      <c r="A166" s="147"/>
      <c r="B166" s="14"/>
      <c r="C166" s="19" t="s">
        <v>232</v>
      </c>
      <c r="D166" s="19" t="s">
        <v>234</v>
      </c>
      <c r="E166" s="13" t="s">
        <v>141</v>
      </c>
      <c r="F166" s="32"/>
      <c r="G166" s="20"/>
      <c r="H166" s="20">
        <f>15*$N$3</f>
        <v>16.5</v>
      </c>
      <c r="I166" s="20">
        <f>5*$N$3</f>
        <v>5.5</v>
      </c>
      <c r="J166" s="20"/>
      <c r="K166" s="20">
        <f>F166*H166</f>
        <v>0</v>
      </c>
      <c r="L166" s="20">
        <f t="shared" si="17"/>
        <v>0</v>
      </c>
      <c r="M166" s="12"/>
      <c r="N166" s="12"/>
      <c r="Q166" s="49"/>
    </row>
    <row r="167" spans="1:17" ht="15.45" customHeight="1" outlineLevel="2" x14ac:dyDescent="0.25">
      <c r="A167" s="147"/>
      <c r="B167" s="14"/>
      <c r="C167" s="19" t="s">
        <v>235</v>
      </c>
      <c r="D167" s="21" t="s">
        <v>236</v>
      </c>
      <c r="E167" s="13" t="s">
        <v>237</v>
      </c>
      <c r="F167" s="13">
        <v>4</v>
      </c>
      <c r="G167" s="20"/>
      <c r="H167" s="20">
        <f>65*$N$3</f>
        <v>71.5</v>
      </c>
      <c r="I167" s="20">
        <f>25*$N$3</f>
        <v>27.5</v>
      </c>
      <c r="J167" s="20"/>
      <c r="K167" s="20">
        <f>F167*H167</f>
        <v>286</v>
      </c>
      <c r="L167" s="20">
        <f t="shared" si="17"/>
        <v>110</v>
      </c>
      <c r="M167" s="12"/>
      <c r="N167" s="12"/>
      <c r="Q167" s="49"/>
    </row>
    <row r="168" spans="1:17" ht="12" outlineLevel="1" x14ac:dyDescent="0.25">
      <c r="A168" s="147"/>
      <c r="B168" s="14">
        <v>5.2</v>
      </c>
      <c r="C168" s="19" t="s">
        <v>238</v>
      </c>
      <c r="D168" s="21"/>
      <c r="E168" s="13" t="s">
        <v>239</v>
      </c>
      <c r="F168" s="13"/>
      <c r="G168" s="20"/>
      <c r="H168" s="20"/>
      <c r="I168" s="20">
        <f>7000*$N$3</f>
        <v>7700</v>
      </c>
      <c r="J168" s="20"/>
      <c r="K168" s="20"/>
      <c r="L168" s="20">
        <f t="shared" si="17"/>
        <v>0</v>
      </c>
      <c r="M168" s="12"/>
      <c r="N168" s="12"/>
      <c r="Q168" s="49"/>
    </row>
    <row r="169" spans="1:17" ht="14.25" customHeight="1" outlineLevel="1" x14ac:dyDescent="0.25">
      <c r="A169" s="147"/>
      <c r="B169" s="14">
        <v>5.3</v>
      </c>
      <c r="C169" s="19" t="s">
        <v>240</v>
      </c>
      <c r="D169" s="19" t="s">
        <v>241</v>
      </c>
      <c r="E169" s="13" t="s">
        <v>50</v>
      </c>
      <c r="F169" s="13">
        <v>1</v>
      </c>
      <c r="G169" s="20"/>
      <c r="H169" s="20"/>
      <c r="I169" s="20">
        <f>500*$N$3</f>
        <v>550</v>
      </c>
      <c r="J169" s="20"/>
      <c r="K169" s="20"/>
      <c r="L169" s="20">
        <f t="shared" si="17"/>
        <v>550</v>
      </c>
      <c r="M169" s="12"/>
      <c r="N169" s="12"/>
      <c r="Q169" s="49"/>
    </row>
    <row r="170" spans="1:17" ht="14.25" customHeight="1" outlineLevel="1" x14ac:dyDescent="0.25">
      <c r="A170" s="147"/>
      <c r="B170" s="14">
        <v>5.4</v>
      </c>
      <c r="C170" s="19" t="s">
        <v>242</v>
      </c>
      <c r="D170" s="19"/>
      <c r="E170" s="13" t="s">
        <v>137</v>
      </c>
      <c r="F170" s="13"/>
      <c r="G170" s="20"/>
      <c r="H170" s="20"/>
      <c r="I170" s="20">
        <f>0.008*M3*$N$3</f>
        <v>229.15200000000002</v>
      </c>
      <c r="J170" s="20"/>
      <c r="K170" s="20"/>
      <c r="L170" s="20">
        <f t="shared" si="17"/>
        <v>0</v>
      </c>
      <c r="M170" s="12"/>
      <c r="N170" s="12"/>
      <c r="Q170" s="49"/>
    </row>
    <row r="171" spans="1:17" ht="14.25" customHeight="1" x14ac:dyDescent="0.25">
      <c r="A171" s="147"/>
      <c r="B171" s="17">
        <v>6</v>
      </c>
      <c r="C171" s="18" t="s">
        <v>243</v>
      </c>
      <c r="D171" s="19"/>
      <c r="E171" s="30"/>
      <c r="F171" s="30"/>
      <c r="G171" s="20"/>
      <c r="H171" s="20"/>
      <c r="I171" s="20"/>
      <c r="J171" s="20"/>
      <c r="K171" s="20"/>
      <c r="L171" s="20"/>
      <c r="M171" s="12"/>
      <c r="N171" s="12"/>
      <c r="Q171" s="49"/>
    </row>
    <row r="172" spans="1:17" ht="14.25" customHeight="1" outlineLevel="1" x14ac:dyDescent="0.25">
      <c r="A172" s="147"/>
      <c r="B172" s="14">
        <v>6.1</v>
      </c>
      <c r="C172" s="21" t="s">
        <v>244</v>
      </c>
      <c r="D172" s="19" t="s">
        <v>245</v>
      </c>
      <c r="E172" s="13" t="s">
        <v>55</v>
      </c>
      <c r="F172" s="13">
        <v>1</v>
      </c>
      <c r="G172" s="20"/>
      <c r="H172" s="20">
        <f>800*$N$3</f>
        <v>880</v>
      </c>
      <c r="I172" s="20">
        <f>200*$N$3</f>
        <v>220</v>
      </c>
      <c r="J172" s="20"/>
      <c r="K172" s="20">
        <f t="shared" ref="K172:K181" si="18">F172*H172</f>
        <v>880</v>
      </c>
      <c r="L172" s="20">
        <f t="shared" si="17"/>
        <v>220</v>
      </c>
      <c r="M172" s="12"/>
      <c r="N172" s="12"/>
      <c r="Q172" s="49"/>
    </row>
    <row r="173" spans="1:17" ht="14.25" customHeight="1" outlineLevel="1" x14ac:dyDescent="0.25">
      <c r="A173" s="147"/>
      <c r="B173" s="14">
        <v>6.2</v>
      </c>
      <c r="C173" s="21" t="s">
        <v>246</v>
      </c>
      <c r="D173" s="19" t="s">
        <v>247</v>
      </c>
      <c r="E173" s="13" t="s">
        <v>248</v>
      </c>
      <c r="F173" s="13"/>
      <c r="G173" s="20"/>
      <c r="H173" s="20">
        <f>0.1*$N$3</f>
        <v>0.11</v>
      </c>
      <c r="I173" s="20">
        <f>0.03*$N$3</f>
        <v>3.3000000000000002E-2</v>
      </c>
      <c r="J173" s="20"/>
      <c r="K173" s="20">
        <f t="shared" si="18"/>
        <v>0</v>
      </c>
      <c r="L173" s="20">
        <f t="shared" si="17"/>
        <v>0</v>
      </c>
      <c r="M173" s="12"/>
      <c r="N173" s="12"/>
      <c r="Q173" s="49"/>
    </row>
    <row r="174" spans="1:17" ht="14.25" customHeight="1" outlineLevel="1" x14ac:dyDescent="0.25">
      <c r="A174" s="147"/>
      <c r="B174" s="14">
        <v>6.3</v>
      </c>
      <c r="C174" s="21" t="s">
        <v>246</v>
      </c>
      <c r="D174" s="19" t="s">
        <v>245</v>
      </c>
      <c r="E174" s="13" t="s">
        <v>248</v>
      </c>
      <c r="F174" s="13"/>
      <c r="G174" s="20"/>
      <c r="H174" s="20">
        <f>0.23*$N$3</f>
        <v>0.253</v>
      </c>
      <c r="I174" s="20">
        <f>0.05*$N$3</f>
        <v>5.5E-2</v>
      </c>
      <c r="J174" s="20"/>
      <c r="K174" s="20">
        <f t="shared" si="18"/>
        <v>0</v>
      </c>
      <c r="L174" s="20">
        <f t="shared" si="17"/>
        <v>0</v>
      </c>
      <c r="M174" s="12"/>
      <c r="N174" s="12"/>
      <c r="Q174" s="49"/>
    </row>
    <row r="175" spans="1:17" ht="14.25" customHeight="1" outlineLevel="1" x14ac:dyDescent="0.25">
      <c r="A175" s="147"/>
      <c r="B175" s="24">
        <v>6.4</v>
      </c>
      <c r="C175" s="29" t="s">
        <v>249</v>
      </c>
      <c r="D175" s="19"/>
      <c r="E175" s="13"/>
      <c r="F175" s="13"/>
      <c r="G175" s="20"/>
      <c r="H175" s="20"/>
      <c r="I175" s="20"/>
      <c r="J175" s="20"/>
      <c r="K175" s="20"/>
      <c r="L175" s="20"/>
      <c r="M175" s="12"/>
      <c r="N175" s="12"/>
      <c r="Q175" s="49"/>
    </row>
    <row r="176" spans="1:17" ht="14.25" customHeight="1" outlineLevel="2" x14ac:dyDescent="0.25">
      <c r="A176" s="147"/>
      <c r="B176" s="24"/>
      <c r="C176" s="29" t="s">
        <v>249</v>
      </c>
      <c r="D176" s="29" t="s">
        <v>250</v>
      </c>
      <c r="E176" s="26" t="s">
        <v>248</v>
      </c>
      <c r="F176" s="26"/>
      <c r="G176" s="28"/>
      <c r="H176" s="28">
        <f>0.9*$N$3</f>
        <v>0.99</v>
      </c>
      <c r="I176" s="28">
        <f>0.1*$N$3</f>
        <v>0.11</v>
      </c>
      <c r="J176" s="20"/>
      <c r="K176" s="20">
        <f t="shared" si="18"/>
        <v>0</v>
      </c>
      <c r="L176" s="20">
        <f t="shared" si="17"/>
        <v>0</v>
      </c>
      <c r="M176" s="12"/>
      <c r="N176" s="12"/>
      <c r="Q176" s="49"/>
    </row>
    <row r="177" spans="1:17" ht="14.25" customHeight="1" outlineLevel="2" x14ac:dyDescent="0.25">
      <c r="A177" s="147"/>
      <c r="B177" s="24"/>
      <c r="C177" s="29" t="s">
        <v>249</v>
      </c>
      <c r="D177" s="29" t="s">
        <v>251</v>
      </c>
      <c r="E177" s="26" t="s">
        <v>248</v>
      </c>
      <c r="F177" s="26"/>
      <c r="G177" s="28"/>
      <c r="H177" s="28">
        <f>1.05*$N$3</f>
        <v>1.155</v>
      </c>
      <c r="I177" s="28">
        <f>0.15*$N$3</f>
        <v>0.16500000000000001</v>
      </c>
      <c r="J177" s="20"/>
      <c r="K177" s="20">
        <f t="shared" si="18"/>
        <v>0</v>
      </c>
      <c r="L177" s="20">
        <f t="shared" si="17"/>
        <v>0</v>
      </c>
      <c r="M177" s="12"/>
      <c r="N177" s="12"/>
      <c r="Q177" s="49"/>
    </row>
    <row r="178" spans="1:17" s="90" customFormat="1" ht="14.25" customHeight="1" outlineLevel="2" x14ac:dyDescent="0.25">
      <c r="A178" s="148"/>
      <c r="B178" s="24"/>
      <c r="C178" s="29" t="s">
        <v>249</v>
      </c>
      <c r="D178" s="29" t="s">
        <v>252</v>
      </c>
      <c r="E178" s="26" t="s">
        <v>248</v>
      </c>
      <c r="F178" s="26">
        <f>M3</f>
        <v>26040</v>
      </c>
      <c r="G178" s="28"/>
      <c r="H178" s="92">
        <v>1.5</v>
      </c>
      <c r="I178" s="92">
        <f>0.2*$N$3</f>
        <v>0.22</v>
      </c>
      <c r="J178" s="28"/>
      <c r="K178" s="28">
        <f t="shared" si="18"/>
        <v>39060</v>
      </c>
      <c r="L178" s="28">
        <f t="shared" si="17"/>
        <v>5728.8</v>
      </c>
      <c r="M178" s="89"/>
      <c r="N178" s="89"/>
      <c r="Q178" s="91"/>
    </row>
    <row r="179" spans="1:17" ht="14.25" customHeight="1" outlineLevel="2" x14ac:dyDescent="0.25">
      <c r="A179" s="147"/>
      <c r="B179" s="24"/>
      <c r="C179" s="29" t="s">
        <v>249</v>
      </c>
      <c r="D179" s="29" t="s">
        <v>253</v>
      </c>
      <c r="E179" s="26" t="s">
        <v>248</v>
      </c>
      <c r="F179" s="26"/>
      <c r="G179" s="28"/>
      <c r="H179" s="28">
        <f>1*$N$3</f>
        <v>1.1000000000000001</v>
      </c>
      <c r="I179" s="28">
        <f>0.1*$N$3</f>
        <v>0.11</v>
      </c>
      <c r="J179" s="20"/>
      <c r="K179" s="20">
        <f t="shared" si="18"/>
        <v>0</v>
      </c>
      <c r="L179" s="20">
        <f t="shared" si="17"/>
        <v>0</v>
      </c>
      <c r="M179" s="12"/>
      <c r="N179" s="12"/>
      <c r="Q179" s="49"/>
    </row>
    <row r="180" spans="1:17" ht="14.25" customHeight="1" outlineLevel="2" x14ac:dyDescent="0.25">
      <c r="A180" s="147"/>
      <c r="B180" s="24"/>
      <c r="C180" s="29" t="s">
        <v>249</v>
      </c>
      <c r="D180" s="29" t="s">
        <v>254</v>
      </c>
      <c r="E180" s="26" t="s">
        <v>248</v>
      </c>
      <c r="F180" s="26"/>
      <c r="G180" s="28"/>
      <c r="H180" s="28">
        <f>1.35*$N$3</f>
        <v>1.4850000000000001</v>
      </c>
      <c r="I180" s="28">
        <f>0.15*$N$3</f>
        <v>0.16500000000000001</v>
      </c>
      <c r="J180" s="20"/>
      <c r="K180" s="20">
        <f t="shared" si="18"/>
        <v>0</v>
      </c>
      <c r="L180" s="20">
        <f t="shared" si="17"/>
        <v>0</v>
      </c>
      <c r="M180" s="12"/>
      <c r="N180" s="12"/>
      <c r="P180" s="49"/>
      <c r="Q180" s="49"/>
    </row>
    <row r="181" spans="1:17" ht="14.25" customHeight="1" outlineLevel="2" x14ac:dyDescent="0.25">
      <c r="A181" s="147"/>
      <c r="B181" s="24"/>
      <c r="C181" s="29" t="s">
        <v>249</v>
      </c>
      <c r="D181" s="29" t="s">
        <v>255</v>
      </c>
      <c r="E181" s="26" t="s">
        <v>248</v>
      </c>
      <c r="F181" s="26"/>
      <c r="G181" s="28"/>
      <c r="H181" s="28">
        <f>1.7*$N$3</f>
        <v>1.87</v>
      </c>
      <c r="I181" s="28">
        <f>0.2*$N$3</f>
        <v>0.22</v>
      </c>
      <c r="J181" s="20"/>
      <c r="K181" s="20">
        <f t="shared" si="18"/>
        <v>0</v>
      </c>
      <c r="L181" s="20">
        <f t="shared" si="17"/>
        <v>0</v>
      </c>
      <c r="M181" s="12"/>
      <c r="N181" s="12"/>
      <c r="Q181" s="49"/>
    </row>
    <row r="182" spans="1:17" ht="14.25" customHeight="1" x14ac:dyDescent="0.25">
      <c r="A182" s="147"/>
      <c r="B182" s="34">
        <v>7</v>
      </c>
      <c r="C182" s="58" t="s">
        <v>256</v>
      </c>
      <c r="D182" s="40"/>
      <c r="E182" s="40"/>
      <c r="F182" s="40"/>
      <c r="G182" s="28"/>
      <c r="H182" s="28"/>
      <c r="I182" s="28"/>
      <c r="J182" s="20"/>
      <c r="K182" s="20"/>
      <c r="L182" s="20"/>
      <c r="M182" s="12"/>
      <c r="N182" s="12"/>
      <c r="Q182" s="49"/>
    </row>
    <row r="183" spans="1:17" ht="14.25" customHeight="1" outlineLevel="1" x14ac:dyDescent="0.25">
      <c r="A183" s="147"/>
      <c r="B183" s="24">
        <v>7.1</v>
      </c>
      <c r="C183" s="29" t="s">
        <v>257</v>
      </c>
      <c r="D183" s="29" t="s">
        <v>258</v>
      </c>
      <c r="E183" s="26" t="s">
        <v>141</v>
      </c>
      <c r="F183" s="26"/>
      <c r="G183" s="28"/>
      <c r="H183" s="28"/>
      <c r="I183" s="28">
        <f>80*$N$3</f>
        <v>88</v>
      </c>
      <c r="J183" s="20"/>
      <c r="K183" s="20"/>
      <c r="L183" s="20">
        <f t="shared" si="17"/>
        <v>0</v>
      </c>
      <c r="M183" s="12"/>
      <c r="N183" s="12"/>
    </row>
    <row r="184" spans="1:17" ht="14.25" customHeight="1" outlineLevel="1" x14ac:dyDescent="0.25">
      <c r="A184" s="147"/>
      <c r="B184" s="24">
        <v>7.2</v>
      </c>
      <c r="C184" s="29" t="s">
        <v>259</v>
      </c>
      <c r="D184" s="29" t="s">
        <v>260</v>
      </c>
      <c r="E184" s="26" t="s">
        <v>47</v>
      </c>
      <c r="F184" s="26"/>
      <c r="G184" s="28"/>
      <c r="H184" s="28"/>
      <c r="I184" s="28">
        <f>4000*$N$3</f>
        <v>4400</v>
      </c>
      <c r="J184" s="20"/>
      <c r="K184" s="20"/>
      <c r="L184" s="20">
        <f t="shared" si="17"/>
        <v>0</v>
      </c>
      <c r="M184" s="12"/>
      <c r="N184" s="12"/>
    </row>
    <row r="185" spans="1:17" ht="14.25" customHeight="1" outlineLevel="1" x14ac:dyDescent="0.25">
      <c r="A185" s="147"/>
      <c r="B185" s="24">
        <v>7.3</v>
      </c>
      <c r="C185" s="29" t="s">
        <v>261</v>
      </c>
      <c r="D185" s="29" t="s">
        <v>262</v>
      </c>
      <c r="E185" s="26" t="s">
        <v>141</v>
      </c>
      <c r="F185" s="26"/>
      <c r="G185" s="28"/>
      <c r="H185" s="28"/>
      <c r="I185" s="28">
        <f>150*$N$3</f>
        <v>165</v>
      </c>
      <c r="J185" s="20"/>
      <c r="K185" s="20"/>
      <c r="L185" s="20">
        <f t="shared" si="17"/>
        <v>0</v>
      </c>
      <c r="M185" s="12"/>
      <c r="N185" s="12"/>
    </row>
    <row r="186" spans="1:17" ht="14.25" customHeight="1" outlineLevel="1" x14ac:dyDescent="0.25">
      <c r="A186" s="147"/>
      <c r="B186" s="14">
        <v>7.4</v>
      </c>
      <c r="C186" s="19" t="s">
        <v>263</v>
      </c>
      <c r="D186" s="19" t="s">
        <v>264</v>
      </c>
      <c r="E186" s="13" t="s">
        <v>141</v>
      </c>
      <c r="F186" s="13"/>
      <c r="G186" s="20"/>
      <c r="H186" s="20"/>
      <c r="I186" s="28">
        <f>90*$N$3</f>
        <v>99</v>
      </c>
      <c r="J186" s="20"/>
      <c r="K186" s="20"/>
      <c r="L186" s="20">
        <f t="shared" si="17"/>
        <v>0</v>
      </c>
      <c r="M186" s="12"/>
      <c r="N186" s="12"/>
    </row>
    <row r="187" spans="1:17" ht="14.25" customHeight="1" outlineLevel="1" x14ac:dyDescent="0.25">
      <c r="A187" s="147"/>
      <c r="B187" s="14">
        <v>7.5</v>
      </c>
      <c r="C187" s="19" t="s">
        <v>265</v>
      </c>
      <c r="D187" s="19" t="s">
        <v>266</v>
      </c>
      <c r="E187" s="26" t="s">
        <v>267</v>
      </c>
      <c r="F187" s="13"/>
      <c r="G187" s="20"/>
      <c r="H187" s="20"/>
      <c r="I187" s="28">
        <f>30*$N$3</f>
        <v>33</v>
      </c>
      <c r="J187" s="20"/>
      <c r="K187" s="20"/>
      <c r="L187" s="20">
        <f t="shared" si="17"/>
        <v>0</v>
      </c>
      <c r="M187" s="12"/>
      <c r="N187" s="12"/>
    </row>
    <row r="188" spans="1:17" ht="14.25" customHeight="1" x14ac:dyDescent="0.25">
      <c r="A188" s="147"/>
      <c r="B188" s="17">
        <v>8</v>
      </c>
      <c r="C188" s="18" t="s">
        <v>268</v>
      </c>
      <c r="D188" s="19"/>
      <c r="E188" s="13"/>
      <c r="F188" s="13"/>
      <c r="G188" s="20"/>
      <c r="H188" s="20"/>
      <c r="I188" s="20"/>
      <c r="J188" s="20"/>
      <c r="K188" s="20"/>
      <c r="L188" s="20"/>
      <c r="M188" s="12"/>
      <c r="N188" s="12"/>
    </row>
    <row r="189" spans="1:17" ht="14.25" customHeight="1" outlineLevel="1" x14ac:dyDescent="0.25">
      <c r="A189" s="147"/>
      <c r="B189" s="14">
        <v>8.1</v>
      </c>
      <c r="C189" s="29" t="s">
        <v>269</v>
      </c>
      <c r="D189" s="25" t="s">
        <v>270</v>
      </c>
      <c r="E189" s="26" t="s">
        <v>47</v>
      </c>
      <c r="F189" s="26"/>
      <c r="G189" s="28"/>
      <c r="H189" s="28"/>
      <c r="I189" s="28">
        <f>3000*$N$3</f>
        <v>3300</v>
      </c>
      <c r="J189" s="20"/>
      <c r="K189" s="20"/>
      <c r="L189" s="20">
        <f t="shared" si="17"/>
        <v>0</v>
      </c>
      <c r="M189" s="12"/>
      <c r="N189" s="12"/>
    </row>
    <row r="190" spans="1:17" ht="14.25" customHeight="1" outlineLevel="1" x14ac:dyDescent="0.25">
      <c r="A190" s="147"/>
      <c r="B190" s="14">
        <v>8.1999999999999993</v>
      </c>
      <c r="C190" s="19" t="s">
        <v>271</v>
      </c>
      <c r="D190" s="19"/>
      <c r="E190" s="13" t="s">
        <v>47</v>
      </c>
      <c r="F190" s="13"/>
      <c r="G190" s="20"/>
      <c r="H190" s="20"/>
      <c r="I190" s="28">
        <f>2000*$N$3</f>
        <v>2200</v>
      </c>
      <c r="J190" s="20"/>
      <c r="K190" s="20"/>
      <c r="L190" s="20">
        <f t="shared" si="17"/>
        <v>0</v>
      </c>
      <c r="M190" s="12"/>
      <c r="N190" s="12"/>
    </row>
    <row r="191" spans="1:17" ht="14.25" customHeight="1" outlineLevel="1" x14ac:dyDescent="0.25">
      <c r="A191" s="147"/>
      <c r="B191" s="14">
        <v>8.3000000000000007</v>
      </c>
      <c r="C191" s="19" t="s">
        <v>272</v>
      </c>
      <c r="D191" s="19"/>
      <c r="E191" s="13" t="s">
        <v>47</v>
      </c>
      <c r="F191" s="13">
        <v>1</v>
      </c>
      <c r="G191" s="20"/>
      <c r="H191" s="20"/>
      <c r="I191" s="28">
        <f>20000*$N$3</f>
        <v>22000</v>
      </c>
      <c r="J191" s="20"/>
      <c r="K191" s="20"/>
      <c r="L191" s="20">
        <f t="shared" si="17"/>
        <v>22000</v>
      </c>
      <c r="M191" s="12"/>
      <c r="N191" s="12"/>
    </row>
    <row r="192" spans="1:17" ht="14.25" customHeight="1" outlineLevel="1" x14ac:dyDescent="0.25">
      <c r="A192" s="147"/>
      <c r="B192" s="14">
        <v>8.4</v>
      </c>
      <c r="C192" s="19" t="s">
        <v>273</v>
      </c>
      <c r="D192" s="19"/>
      <c r="E192" s="13" t="s">
        <v>47</v>
      </c>
      <c r="F192" s="13"/>
      <c r="G192" s="20"/>
      <c r="H192" s="20"/>
      <c r="I192" s="28">
        <f>15000*$N$3</f>
        <v>16500</v>
      </c>
      <c r="J192" s="20"/>
      <c r="K192" s="20"/>
      <c r="L192" s="20">
        <f t="shared" si="17"/>
        <v>0</v>
      </c>
      <c r="M192" s="12"/>
      <c r="N192" s="12"/>
    </row>
    <row r="193" spans="1:14" ht="14.25" customHeight="1" outlineLevel="1" x14ac:dyDescent="0.25">
      <c r="A193" s="147"/>
      <c r="B193" s="24">
        <v>8.5</v>
      </c>
      <c r="C193" s="29" t="s">
        <v>274</v>
      </c>
      <c r="D193" s="29" t="s">
        <v>275</v>
      </c>
      <c r="E193" s="26" t="s">
        <v>47</v>
      </c>
      <c r="F193" s="26"/>
      <c r="G193" s="28"/>
      <c r="H193" s="28"/>
      <c r="I193" s="28">
        <f>30000*$N$3</f>
        <v>33000</v>
      </c>
      <c r="J193" s="20"/>
      <c r="K193" s="20"/>
      <c r="L193" s="20">
        <f t="shared" si="17"/>
        <v>0</v>
      </c>
      <c r="M193" s="12" t="s">
        <v>276</v>
      </c>
      <c r="N193" s="12"/>
    </row>
    <row r="194" spans="1:14" ht="14.25" customHeight="1" outlineLevel="1" x14ac:dyDescent="0.25">
      <c r="A194" s="147"/>
      <c r="B194" s="24">
        <v>8.6</v>
      </c>
      <c r="C194" s="29" t="s">
        <v>277</v>
      </c>
      <c r="D194" s="29"/>
      <c r="E194" s="26"/>
      <c r="F194" s="26"/>
      <c r="G194" s="28"/>
      <c r="H194" s="28"/>
      <c r="I194" s="28"/>
      <c r="J194" s="20"/>
      <c r="K194" s="20"/>
      <c r="L194" s="20"/>
      <c r="M194" s="12"/>
      <c r="N194" s="12"/>
    </row>
    <row r="195" spans="1:14" ht="14.25" customHeight="1" outlineLevel="2" x14ac:dyDescent="0.25">
      <c r="A195" s="147"/>
      <c r="B195" s="24"/>
      <c r="C195" s="29" t="s">
        <v>277</v>
      </c>
      <c r="D195" s="29" t="s">
        <v>278</v>
      </c>
      <c r="E195" s="26" t="s">
        <v>248</v>
      </c>
      <c r="F195" s="26"/>
      <c r="G195" s="28"/>
      <c r="H195" s="28"/>
      <c r="I195" s="28">
        <f>0.15*$N$3</f>
        <v>0.16500000000000001</v>
      </c>
      <c r="J195" s="20"/>
      <c r="K195" s="20"/>
      <c r="L195" s="20">
        <f t="shared" si="17"/>
        <v>0</v>
      </c>
      <c r="M195" s="12"/>
      <c r="N195" s="12"/>
    </row>
    <row r="196" spans="1:14" ht="14.25" customHeight="1" outlineLevel="2" x14ac:dyDescent="0.25">
      <c r="A196" s="147"/>
      <c r="B196" s="24"/>
      <c r="C196" s="29" t="s">
        <v>277</v>
      </c>
      <c r="D196" s="29" t="s">
        <v>279</v>
      </c>
      <c r="E196" s="26" t="s">
        <v>248</v>
      </c>
      <c r="F196" s="26"/>
      <c r="G196" s="28"/>
      <c r="H196" s="28"/>
      <c r="I196" s="28">
        <f>0.3*$N$3</f>
        <v>0.33</v>
      </c>
      <c r="J196" s="20"/>
      <c r="K196" s="20"/>
      <c r="L196" s="20">
        <f t="shared" si="17"/>
        <v>0</v>
      </c>
      <c r="M196" s="12"/>
      <c r="N196" s="12"/>
    </row>
    <row r="197" spans="1:14" ht="14.25" customHeight="1" x14ac:dyDescent="0.25">
      <c r="A197" s="147"/>
      <c r="B197" s="34">
        <v>9</v>
      </c>
      <c r="C197" s="58" t="s">
        <v>280</v>
      </c>
      <c r="D197" s="40"/>
      <c r="E197" s="40"/>
      <c r="F197" s="40"/>
      <c r="G197" s="28"/>
      <c r="H197" s="28"/>
      <c r="I197" s="28"/>
      <c r="J197" s="20"/>
      <c r="K197" s="20"/>
      <c r="L197" s="20"/>
      <c r="M197" s="12"/>
      <c r="N197" s="12"/>
    </row>
    <row r="198" spans="1:14" ht="15.45" customHeight="1" outlineLevel="1" x14ac:dyDescent="0.25">
      <c r="A198" s="147"/>
      <c r="B198" s="14">
        <v>9.1</v>
      </c>
      <c r="C198" s="19" t="s">
        <v>281</v>
      </c>
      <c r="D198" s="19"/>
      <c r="E198" s="13" t="s">
        <v>141</v>
      </c>
      <c r="F198" s="13">
        <v>15</v>
      </c>
      <c r="G198" s="20"/>
      <c r="H198" s="20"/>
      <c r="I198" s="20">
        <f>230*$N$3</f>
        <v>253</v>
      </c>
      <c r="J198" s="20"/>
      <c r="K198" s="20"/>
      <c r="L198" s="20">
        <f t="shared" si="17"/>
        <v>3795</v>
      </c>
      <c r="M198" s="12"/>
      <c r="N198" s="12"/>
    </row>
    <row r="199" spans="1:14" ht="15.45" customHeight="1" outlineLevel="1" x14ac:dyDescent="0.25">
      <c r="A199" s="147"/>
      <c r="B199" s="14">
        <v>9.1999999999999993</v>
      </c>
      <c r="C199" s="19" t="s">
        <v>282</v>
      </c>
      <c r="D199" s="19"/>
      <c r="E199" s="13"/>
      <c r="F199" s="13"/>
      <c r="G199" s="20"/>
      <c r="H199" s="20"/>
      <c r="I199" s="20"/>
      <c r="J199" s="20"/>
      <c r="K199" s="20"/>
      <c r="L199" s="20"/>
      <c r="M199" s="12"/>
      <c r="N199" s="12"/>
    </row>
    <row r="200" spans="1:14" ht="15.45" customHeight="1" outlineLevel="2" x14ac:dyDescent="0.25">
      <c r="A200" s="147"/>
      <c r="B200" s="14"/>
      <c r="C200" s="19" t="s">
        <v>282</v>
      </c>
      <c r="D200" s="21" t="s">
        <v>283</v>
      </c>
      <c r="E200" s="13" t="s">
        <v>141</v>
      </c>
      <c r="F200" s="13"/>
      <c r="G200" s="20"/>
      <c r="H200" s="20"/>
      <c r="I200" s="20">
        <f>500*$N$3</f>
        <v>550</v>
      </c>
      <c r="J200" s="20"/>
      <c r="K200" s="20"/>
      <c r="L200" s="20">
        <f t="shared" si="17"/>
        <v>0</v>
      </c>
      <c r="M200" s="12"/>
      <c r="N200" s="12"/>
    </row>
    <row r="201" spans="1:14" ht="15.45" customHeight="1" outlineLevel="2" x14ac:dyDescent="0.25">
      <c r="A201" s="147"/>
      <c r="B201" s="14"/>
      <c r="C201" s="19" t="s">
        <v>282</v>
      </c>
      <c r="D201" s="21" t="s">
        <v>284</v>
      </c>
      <c r="E201" s="13" t="s">
        <v>141</v>
      </c>
      <c r="F201" s="13"/>
      <c r="G201" s="20"/>
      <c r="H201" s="20"/>
      <c r="I201" s="20">
        <f>1000*$N$3</f>
        <v>1100</v>
      </c>
      <c r="J201" s="20"/>
      <c r="K201" s="20"/>
      <c r="L201" s="20">
        <f t="shared" si="17"/>
        <v>0</v>
      </c>
      <c r="M201" s="12"/>
      <c r="N201" s="12"/>
    </row>
    <row r="202" spans="1:14" ht="15.45" customHeight="1" outlineLevel="1" x14ac:dyDescent="0.25">
      <c r="A202" s="147"/>
      <c r="B202" s="14">
        <v>9.3000000000000007</v>
      </c>
      <c r="C202" s="19" t="s">
        <v>285</v>
      </c>
      <c r="D202" s="21" t="s">
        <v>286</v>
      </c>
      <c r="E202" s="13" t="s">
        <v>141</v>
      </c>
      <c r="F202" s="13">
        <v>110</v>
      </c>
      <c r="G202" s="20"/>
      <c r="H202" s="20"/>
      <c r="I202" s="20">
        <f>40*$N$3</f>
        <v>44</v>
      </c>
      <c r="J202" s="20"/>
      <c r="K202" s="20"/>
      <c r="L202" s="20">
        <f t="shared" si="17"/>
        <v>4840</v>
      </c>
      <c r="M202" s="12"/>
      <c r="N202" s="12"/>
    </row>
    <row r="203" spans="1:14" ht="14.25" customHeight="1" x14ac:dyDescent="0.25">
      <c r="A203" s="147"/>
      <c r="B203" s="17">
        <v>10</v>
      </c>
      <c r="C203" s="45" t="s">
        <v>287</v>
      </c>
      <c r="D203" s="45"/>
      <c r="E203" s="45"/>
      <c r="F203" s="45"/>
      <c r="G203" s="59"/>
      <c r="H203" s="59"/>
      <c r="I203" s="59"/>
      <c r="J203" s="20"/>
      <c r="K203" s="20"/>
      <c r="L203" s="20"/>
      <c r="M203" s="12"/>
      <c r="N203" s="12"/>
    </row>
    <row r="204" spans="1:14" ht="14.25" customHeight="1" outlineLevel="1" x14ac:dyDescent="0.25">
      <c r="A204" s="147"/>
      <c r="B204" s="14">
        <v>10.1</v>
      </c>
      <c r="C204" s="29" t="s">
        <v>288</v>
      </c>
      <c r="D204" s="29" t="s">
        <v>245</v>
      </c>
      <c r="E204" s="26" t="s">
        <v>239</v>
      </c>
      <c r="F204" s="26"/>
      <c r="G204" s="28"/>
      <c r="H204" s="28"/>
      <c r="I204" s="28">
        <f>10000*$N$3</f>
        <v>11000</v>
      </c>
      <c r="J204" s="20"/>
      <c r="K204" s="20"/>
      <c r="L204" s="20">
        <f t="shared" si="17"/>
        <v>0</v>
      </c>
      <c r="M204" s="12"/>
      <c r="N204" s="12"/>
    </row>
    <row r="205" spans="1:14" ht="14.25" customHeight="1" outlineLevel="1" x14ac:dyDescent="0.25">
      <c r="A205" s="147"/>
      <c r="B205" s="14">
        <v>10.199999999999999</v>
      </c>
      <c r="C205" s="29" t="s">
        <v>289</v>
      </c>
      <c r="D205" s="29" t="s">
        <v>290</v>
      </c>
      <c r="E205" s="26" t="s">
        <v>267</v>
      </c>
      <c r="F205" s="26"/>
      <c r="G205" s="28"/>
      <c r="H205" s="28"/>
      <c r="I205" s="28">
        <f>65*$N$3</f>
        <v>71.5</v>
      </c>
      <c r="J205" s="20"/>
      <c r="K205" s="20"/>
      <c r="L205" s="20">
        <f t="shared" si="17"/>
        <v>0</v>
      </c>
      <c r="M205" s="12"/>
      <c r="N205" s="12"/>
    </row>
    <row r="206" spans="1:14" ht="14.25" customHeight="1" outlineLevel="1" x14ac:dyDescent="0.25">
      <c r="A206" s="147"/>
      <c r="B206" s="14">
        <v>10.3</v>
      </c>
      <c r="C206" s="29" t="s">
        <v>291</v>
      </c>
      <c r="D206" s="29" t="s">
        <v>292</v>
      </c>
      <c r="E206" s="26" t="s">
        <v>267</v>
      </c>
      <c r="F206" s="26"/>
      <c r="G206" s="28"/>
      <c r="H206" s="28"/>
      <c r="I206" s="28">
        <f>50*$N$3</f>
        <v>55</v>
      </c>
      <c r="J206" s="20"/>
      <c r="K206" s="20"/>
      <c r="L206" s="20">
        <f t="shared" si="17"/>
        <v>0</v>
      </c>
      <c r="M206" s="12"/>
      <c r="N206" s="12"/>
    </row>
    <row r="207" spans="1:14" ht="14.25" customHeight="1" outlineLevel="1" x14ac:dyDescent="0.25">
      <c r="A207" s="147"/>
      <c r="B207" s="24">
        <v>10.4</v>
      </c>
      <c r="C207" s="29" t="s">
        <v>293</v>
      </c>
      <c r="D207" s="29"/>
      <c r="E207" s="26"/>
      <c r="F207" s="26"/>
      <c r="G207" s="28"/>
      <c r="H207" s="28"/>
      <c r="I207" s="28"/>
      <c r="J207" s="20"/>
      <c r="K207" s="20"/>
      <c r="L207" s="20"/>
      <c r="M207" s="12"/>
      <c r="N207" s="12"/>
    </row>
    <row r="208" spans="1:14" ht="14.25" customHeight="1" outlineLevel="2" x14ac:dyDescent="0.25">
      <c r="A208" s="147"/>
      <c r="B208" s="24"/>
      <c r="C208" s="29" t="s">
        <v>293</v>
      </c>
      <c r="D208" s="29" t="s">
        <v>294</v>
      </c>
      <c r="E208" s="26" t="s">
        <v>267</v>
      </c>
      <c r="F208" s="26"/>
      <c r="G208" s="28"/>
      <c r="H208" s="28"/>
      <c r="I208" s="28">
        <f>55*$N$3</f>
        <v>60.5</v>
      </c>
      <c r="J208" s="20"/>
      <c r="K208" s="20"/>
      <c r="L208" s="20">
        <f t="shared" si="17"/>
        <v>0</v>
      </c>
      <c r="M208" s="12"/>
      <c r="N208" s="12"/>
    </row>
    <row r="209" spans="1:14" ht="14.25" customHeight="1" outlineLevel="2" x14ac:dyDescent="0.25">
      <c r="A209" s="147"/>
      <c r="B209" s="24"/>
      <c r="C209" s="29" t="s">
        <v>293</v>
      </c>
      <c r="D209" s="29" t="s">
        <v>295</v>
      </c>
      <c r="E209" s="26" t="s">
        <v>267</v>
      </c>
      <c r="F209" s="26"/>
      <c r="G209" s="28"/>
      <c r="H209" s="28"/>
      <c r="I209" s="28">
        <f>40*$N$3</f>
        <v>44</v>
      </c>
      <c r="J209" s="20"/>
      <c r="K209" s="20"/>
      <c r="L209" s="20">
        <f t="shared" si="17"/>
        <v>0</v>
      </c>
      <c r="M209" s="12"/>
      <c r="N209" s="12"/>
    </row>
    <row r="210" spans="1:14" ht="14.25" customHeight="1" x14ac:dyDescent="0.25">
      <c r="A210" s="147"/>
      <c r="B210" s="17">
        <v>11</v>
      </c>
      <c r="C210" s="45" t="s">
        <v>296</v>
      </c>
      <c r="D210" s="45"/>
      <c r="E210" s="45"/>
      <c r="F210" s="45"/>
      <c r="G210" s="59"/>
      <c r="H210" s="59"/>
      <c r="I210" s="59"/>
      <c r="J210" s="20"/>
      <c r="K210" s="20"/>
      <c r="L210" s="20"/>
      <c r="M210" s="12"/>
      <c r="N210" s="12"/>
    </row>
    <row r="211" spans="1:14" ht="14.25" customHeight="1" outlineLevel="1" x14ac:dyDescent="0.25">
      <c r="A211" s="147"/>
      <c r="B211" s="14">
        <v>11.1</v>
      </c>
      <c r="C211" s="19" t="s">
        <v>297</v>
      </c>
      <c r="D211" s="19" t="s">
        <v>298</v>
      </c>
      <c r="E211" s="13" t="s">
        <v>137</v>
      </c>
      <c r="F211" s="13">
        <v>1</v>
      </c>
      <c r="G211" s="20"/>
      <c r="H211" s="20"/>
      <c r="I211" s="20">
        <f>5000*$N$3</f>
        <v>5500</v>
      </c>
      <c r="J211" s="20"/>
      <c r="K211" s="20"/>
      <c r="L211" s="20">
        <f t="shared" si="17"/>
        <v>5500</v>
      </c>
      <c r="M211" s="12"/>
      <c r="N211" s="12"/>
    </row>
    <row r="212" spans="1:14" ht="14.25" customHeight="1" outlineLevel="1" x14ac:dyDescent="0.25">
      <c r="A212" s="147"/>
      <c r="B212" s="14">
        <v>11.2</v>
      </c>
      <c r="C212" s="19" t="s">
        <v>297</v>
      </c>
      <c r="D212" s="19" t="s">
        <v>299</v>
      </c>
      <c r="E212" s="13" t="s">
        <v>137</v>
      </c>
      <c r="F212" s="13"/>
      <c r="G212" s="20"/>
      <c r="H212" s="20"/>
      <c r="I212" s="20">
        <f>50000*$N$3</f>
        <v>55000</v>
      </c>
      <c r="J212" s="20"/>
      <c r="K212" s="20"/>
      <c r="L212" s="20">
        <f t="shared" si="17"/>
        <v>0</v>
      </c>
      <c r="M212" s="12"/>
      <c r="N212" s="12"/>
    </row>
    <row r="213" spans="1:14" ht="16.5" customHeight="1" x14ac:dyDescent="0.25">
      <c r="A213" s="147"/>
      <c r="B213" s="140" t="s">
        <v>300</v>
      </c>
      <c r="C213" s="141"/>
      <c r="D213" s="141"/>
      <c r="E213" s="141"/>
      <c r="F213" s="141"/>
      <c r="G213" s="141"/>
      <c r="H213" s="141"/>
      <c r="I213" s="142"/>
      <c r="J213" s="36">
        <f>SUM(J5:J212)</f>
        <v>176932</v>
      </c>
      <c r="K213" s="36">
        <f>SUM(K5:K212)</f>
        <v>74585.38</v>
      </c>
      <c r="L213" s="36">
        <f>SUM(L5:L212)*1.1</f>
        <v>115609.14200000001</v>
      </c>
      <c r="M213" s="12"/>
      <c r="N213" s="12"/>
    </row>
    <row r="214" spans="1:14" ht="14.25" customHeight="1" x14ac:dyDescent="0.25">
      <c r="A214" s="131" t="s">
        <v>301</v>
      </c>
      <c r="B214" s="17">
        <v>12</v>
      </c>
      <c r="C214" s="18" t="s">
        <v>302</v>
      </c>
      <c r="D214" s="143"/>
      <c r="E214" s="144"/>
      <c r="F214" s="144"/>
      <c r="G214" s="144"/>
      <c r="H214" s="144"/>
      <c r="I214" s="144"/>
      <c r="J214" s="144"/>
      <c r="K214" s="144"/>
      <c r="L214" s="145"/>
      <c r="M214" s="12"/>
      <c r="N214" s="12"/>
    </row>
    <row r="215" spans="1:14" ht="14.25" customHeight="1" outlineLevel="1" x14ac:dyDescent="0.25">
      <c r="A215" s="132"/>
      <c r="B215" s="14">
        <v>12.1</v>
      </c>
      <c r="C215" s="19" t="s">
        <v>303</v>
      </c>
      <c r="D215" s="19"/>
      <c r="E215" s="13" t="s">
        <v>137</v>
      </c>
      <c r="F215" s="13">
        <v>1</v>
      </c>
      <c r="G215" s="20"/>
      <c r="H215" s="20"/>
      <c r="I215" s="20">
        <v>30000</v>
      </c>
      <c r="J215" s="20"/>
      <c r="K215" s="20"/>
      <c r="L215" s="20">
        <f>I215*F215</f>
        <v>30000</v>
      </c>
      <c r="M215" s="12"/>
      <c r="N215" s="12"/>
    </row>
    <row r="216" spans="1:14" ht="14.25" customHeight="1" outlineLevel="1" x14ac:dyDescent="0.25">
      <c r="A216" s="132"/>
      <c r="B216" s="24">
        <v>12.2</v>
      </c>
      <c r="C216" s="29" t="s">
        <v>304</v>
      </c>
      <c r="D216" s="29"/>
      <c r="E216" s="26" t="s">
        <v>267</v>
      </c>
      <c r="F216" s="26"/>
      <c r="G216" s="28"/>
      <c r="H216" s="28"/>
      <c r="I216" s="28">
        <v>0.5</v>
      </c>
      <c r="J216" s="28"/>
      <c r="K216" s="28"/>
      <c r="L216" s="28">
        <f>I216*F216</f>
        <v>0</v>
      </c>
      <c r="M216" s="12"/>
      <c r="N216" s="12"/>
    </row>
    <row r="217" spans="1:14" ht="14.25" customHeight="1" outlineLevel="1" x14ac:dyDescent="0.25">
      <c r="A217" s="133"/>
      <c r="B217" s="24">
        <v>12.3</v>
      </c>
      <c r="C217" s="29" t="s">
        <v>305</v>
      </c>
      <c r="D217" s="29"/>
      <c r="E217" s="26" t="s">
        <v>267</v>
      </c>
      <c r="F217" s="26"/>
      <c r="G217" s="40"/>
      <c r="H217" s="40"/>
      <c r="I217" s="28">
        <v>1</v>
      </c>
      <c r="J217" s="28"/>
      <c r="K217" s="28"/>
      <c r="L217" s="28">
        <f>I217*F217</f>
        <v>0</v>
      </c>
      <c r="M217" s="12"/>
      <c r="N217" s="12"/>
    </row>
    <row r="218" spans="1:14" ht="12" x14ac:dyDescent="0.25">
      <c r="A218" s="131" t="s">
        <v>14</v>
      </c>
      <c r="B218" s="34">
        <v>13</v>
      </c>
      <c r="C218" s="60" t="s">
        <v>14</v>
      </c>
      <c r="D218" s="29"/>
      <c r="E218" s="26"/>
      <c r="F218" s="26"/>
      <c r="G218" s="28"/>
      <c r="H218" s="28"/>
      <c r="I218" s="28"/>
      <c r="J218" s="28"/>
      <c r="K218" s="28"/>
      <c r="L218" s="28"/>
      <c r="M218" s="12"/>
      <c r="N218" s="12"/>
    </row>
    <row r="219" spans="1:14" ht="12" outlineLevel="1" x14ac:dyDescent="0.25">
      <c r="A219" s="132"/>
      <c r="B219" s="24">
        <v>13.1</v>
      </c>
      <c r="C219" s="50" t="s">
        <v>306</v>
      </c>
      <c r="D219" s="29"/>
      <c r="E219" s="26" t="s">
        <v>137</v>
      </c>
      <c r="F219" s="13">
        <v>1</v>
      </c>
      <c r="G219" s="28"/>
      <c r="H219" s="28"/>
      <c r="I219" s="28">
        <v>20000</v>
      </c>
      <c r="J219" s="28"/>
      <c r="K219" s="28"/>
      <c r="L219" s="28">
        <f>F219*I219</f>
        <v>20000</v>
      </c>
      <c r="M219" s="12"/>
      <c r="N219" s="12"/>
    </row>
    <row r="220" spans="1:14" ht="14.55" customHeight="1" outlineLevel="1" x14ac:dyDescent="0.25">
      <c r="A220" s="132"/>
      <c r="B220" s="24">
        <v>13.2</v>
      </c>
      <c r="C220" s="50" t="s">
        <v>307</v>
      </c>
      <c r="D220" s="29"/>
      <c r="E220" s="26" t="s">
        <v>137</v>
      </c>
      <c r="F220" s="13">
        <v>1</v>
      </c>
      <c r="G220" s="28"/>
      <c r="H220" s="28"/>
      <c r="I220" s="28">
        <v>20000</v>
      </c>
      <c r="J220" s="28"/>
      <c r="K220" s="28"/>
      <c r="L220" s="28">
        <f>F220*I220</f>
        <v>20000</v>
      </c>
      <c r="M220" s="12"/>
      <c r="N220" s="12"/>
    </row>
    <row r="221" spans="1:14" ht="14.55" customHeight="1" outlineLevel="1" x14ac:dyDescent="0.25">
      <c r="A221" s="132"/>
      <c r="B221" s="24">
        <v>13.3</v>
      </c>
      <c r="C221" s="50" t="s">
        <v>308</v>
      </c>
      <c r="D221" s="29"/>
      <c r="E221" s="26" t="s">
        <v>137</v>
      </c>
      <c r="F221" s="13">
        <v>1</v>
      </c>
      <c r="G221" s="28"/>
      <c r="H221" s="28"/>
      <c r="I221" s="28">
        <v>10000</v>
      </c>
      <c r="J221" s="28"/>
      <c r="K221" s="28"/>
      <c r="L221" s="28">
        <f>F221*I221</f>
        <v>10000</v>
      </c>
      <c r="M221" s="12"/>
      <c r="N221" s="12"/>
    </row>
    <row r="222" spans="1:14" ht="14.55" customHeight="1" outlineLevel="1" x14ac:dyDescent="0.25">
      <c r="A222" s="133"/>
      <c r="B222" s="24">
        <v>13.4</v>
      </c>
      <c r="C222" s="50" t="s">
        <v>309</v>
      </c>
      <c r="D222" s="29"/>
      <c r="E222" s="26" t="s">
        <v>137</v>
      </c>
      <c r="F222" s="26"/>
      <c r="G222" s="28"/>
      <c r="H222" s="28"/>
      <c r="I222" s="28">
        <v>50000</v>
      </c>
      <c r="J222" s="28"/>
      <c r="K222" s="28"/>
      <c r="L222" s="28">
        <f>F222*I222</f>
        <v>0</v>
      </c>
      <c r="M222" s="12"/>
      <c r="N222" s="12"/>
    </row>
    <row r="223" spans="1:14" ht="14.55" customHeight="1" x14ac:dyDescent="0.25">
      <c r="A223" s="134" t="s">
        <v>11</v>
      </c>
      <c r="B223" s="17">
        <v>14</v>
      </c>
      <c r="C223" s="37" t="s">
        <v>11</v>
      </c>
      <c r="D223" s="19"/>
      <c r="E223" s="13"/>
      <c r="F223" s="13"/>
      <c r="G223" s="20"/>
      <c r="H223" s="20"/>
      <c r="I223" s="20"/>
      <c r="J223" s="20"/>
      <c r="K223" s="20"/>
      <c r="L223" s="20"/>
      <c r="M223" s="12"/>
      <c r="N223" s="12"/>
    </row>
    <row r="224" spans="1:14" ht="14.55" customHeight="1" outlineLevel="1" x14ac:dyDescent="0.25">
      <c r="A224" s="134"/>
      <c r="B224" s="14">
        <v>14.1</v>
      </c>
      <c r="C224" s="25" t="s">
        <v>310</v>
      </c>
      <c r="D224" s="29" t="s">
        <v>311</v>
      </c>
      <c r="E224" s="26" t="s">
        <v>137</v>
      </c>
      <c r="F224" s="26"/>
      <c r="G224" s="28"/>
      <c r="H224" s="28"/>
      <c r="I224" s="28">
        <v>45000</v>
      </c>
      <c r="J224" s="28"/>
      <c r="K224" s="28"/>
      <c r="L224" s="28">
        <f>F224*I224</f>
        <v>0</v>
      </c>
      <c r="M224" s="12"/>
      <c r="N224" s="12"/>
    </row>
    <row r="225" spans="1:3" ht="22.05" customHeight="1" x14ac:dyDescent="0.25">
      <c r="A225" s="38"/>
      <c r="C225" s="61"/>
    </row>
  </sheetData>
  <mergeCells count="16">
    <mergeCell ref="A1:L1"/>
    <mergeCell ref="G2:I2"/>
    <mergeCell ref="J2:L2"/>
    <mergeCell ref="B213:I213"/>
    <mergeCell ref="D214:L214"/>
    <mergeCell ref="A2:A3"/>
    <mergeCell ref="A4:A213"/>
    <mergeCell ref="A214:A217"/>
    <mergeCell ref="E2:E3"/>
    <mergeCell ref="F2:F3"/>
    <mergeCell ref="M27:N34"/>
    <mergeCell ref="A218:A222"/>
    <mergeCell ref="A223:A224"/>
    <mergeCell ref="B2:B3"/>
    <mergeCell ref="C2:C3"/>
    <mergeCell ref="D2:D3"/>
  </mergeCells>
  <phoneticPr fontId="23" type="noConversion"/>
  <conditionalFormatting sqref="E8">
    <cfRule type="cellIs" dxfId="3" priority="1" stopIfTrue="1" operator="equal">
      <formula>0</formula>
    </cfRule>
  </conditionalFormatting>
  <conditionalFormatting sqref="E136">
    <cfRule type="cellIs" dxfId="2" priority="3" stopIfTrue="1" operator="equal">
      <formula>0</formula>
    </cfRule>
  </conditionalFormatting>
  <conditionalFormatting sqref="F9">
    <cfRule type="cellIs" dxfId="1" priority="2" stopIfTrue="1" operator="equal">
      <formula>0</formula>
    </cfRule>
  </conditionalFormatting>
  <conditionalFormatting sqref="J2:L2 J3:K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{2A27A0CB-C43D-4D17-BD57-68B90FFC038C}</x14:id>
        </ext>
      </extLst>
    </cfRule>
  </conditionalFormatting>
  <pageMargins left="0.75" right="0.75" top="1" bottom="1" header="0.51" footer="0.51"/>
  <pageSetup paperSize="9" orientation="portrait"/>
  <ignoredErrors>
    <ignoredError sqref="I5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7A0CB-C43D-4D17-BD57-68B90FFC038C}">
            <x14:dataBar minLength="0" maxLength="100" negativeBarColorSameAsPositive="1" axisPosition="none">
              <x14:cfvo type="min"/>
              <x14:cfvo type="max"/>
            </x14:dataBar>
          </x14:cfRule>
          <xm:sqref>J2:L2 J3:K3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7"/>
  <sheetViews>
    <sheetView zoomScale="85" zoomScaleNormal="85" workbookViewId="0">
      <pane ySplit="3" topLeftCell="A58" activePane="bottomLeft" state="frozen"/>
      <selection pane="bottomLeft" activeCell="M40" sqref="M40"/>
    </sheetView>
  </sheetViews>
  <sheetFormatPr defaultColWidth="8.21875" defaultRowHeight="11.4" outlineLevelRow="2" x14ac:dyDescent="0.25"/>
  <cols>
    <col min="1" max="1" width="16.5546875" style="7" customWidth="1"/>
    <col min="2" max="2" width="5" style="8" customWidth="1"/>
    <col min="3" max="3" width="17.5546875" style="9" customWidth="1"/>
    <col min="4" max="4" width="48.6640625" style="9" customWidth="1"/>
    <col min="5" max="5" width="5.109375" style="10" customWidth="1"/>
    <col min="6" max="6" width="8.109375" style="10" customWidth="1"/>
    <col min="7" max="8" width="10.5546875" style="11" customWidth="1"/>
    <col min="9" max="9" width="9.6640625" style="11" customWidth="1"/>
    <col min="10" max="10" width="11.44140625" style="11" customWidth="1"/>
    <col min="11" max="12" width="9.77734375" style="11" customWidth="1"/>
    <col min="13" max="13" width="11" style="7" customWidth="1"/>
    <col min="14" max="14" width="10.88671875" style="7" customWidth="1"/>
    <col min="15" max="256" width="8.21875" style="7"/>
    <col min="257" max="257" width="16.5546875" style="7" customWidth="1"/>
    <col min="258" max="258" width="5" style="7" customWidth="1"/>
    <col min="259" max="259" width="15.6640625" style="7" customWidth="1"/>
    <col min="260" max="260" width="45.88671875" style="7" customWidth="1"/>
    <col min="261" max="261" width="5.109375" style="7" customWidth="1"/>
    <col min="262" max="262" width="8.109375" style="7" customWidth="1"/>
    <col min="263" max="264" width="10.5546875" style="7" customWidth="1"/>
    <col min="265" max="265" width="7.6640625" style="7" customWidth="1"/>
    <col min="266" max="268" width="9.77734375" style="7" customWidth="1"/>
    <col min="269" max="269" width="8.21875" style="7"/>
    <col min="270" max="270" width="10.88671875" style="7" customWidth="1"/>
    <col min="271" max="512" width="8.21875" style="7"/>
    <col min="513" max="513" width="16.5546875" style="7" customWidth="1"/>
    <col min="514" max="514" width="5" style="7" customWidth="1"/>
    <col min="515" max="515" width="15.6640625" style="7" customWidth="1"/>
    <col min="516" max="516" width="45.88671875" style="7" customWidth="1"/>
    <col min="517" max="517" width="5.109375" style="7" customWidth="1"/>
    <col min="518" max="518" width="8.109375" style="7" customWidth="1"/>
    <col min="519" max="520" width="10.5546875" style="7" customWidth="1"/>
    <col min="521" max="521" width="7.6640625" style="7" customWidth="1"/>
    <col min="522" max="524" width="9.77734375" style="7" customWidth="1"/>
    <col min="525" max="525" width="8.21875" style="7"/>
    <col min="526" max="526" width="10.88671875" style="7" customWidth="1"/>
    <col min="527" max="768" width="8.21875" style="7"/>
    <col min="769" max="769" width="16.5546875" style="7" customWidth="1"/>
    <col min="770" max="770" width="5" style="7" customWidth="1"/>
    <col min="771" max="771" width="15.6640625" style="7" customWidth="1"/>
    <col min="772" max="772" width="45.88671875" style="7" customWidth="1"/>
    <col min="773" max="773" width="5.109375" style="7" customWidth="1"/>
    <col min="774" max="774" width="8.109375" style="7" customWidth="1"/>
    <col min="775" max="776" width="10.5546875" style="7" customWidth="1"/>
    <col min="777" max="777" width="7.6640625" style="7" customWidth="1"/>
    <col min="778" max="780" width="9.77734375" style="7" customWidth="1"/>
    <col min="781" max="781" width="8.21875" style="7"/>
    <col min="782" max="782" width="10.88671875" style="7" customWidth="1"/>
    <col min="783" max="1024" width="8.21875" style="7"/>
    <col min="1025" max="1025" width="16.5546875" style="7" customWidth="1"/>
    <col min="1026" max="1026" width="5" style="7" customWidth="1"/>
    <col min="1027" max="1027" width="15.6640625" style="7" customWidth="1"/>
    <col min="1028" max="1028" width="45.88671875" style="7" customWidth="1"/>
    <col min="1029" max="1029" width="5.109375" style="7" customWidth="1"/>
    <col min="1030" max="1030" width="8.109375" style="7" customWidth="1"/>
    <col min="1031" max="1032" width="10.5546875" style="7" customWidth="1"/>
    <col min="1033" max="1033" width="7.6640625" style="7" customWidth="1"/>
    <col min="1034" max="1036" width="9.77734375" style="7" customWidth="1"/>
    <col min="1037" max="1037" width="8.21875" style="7"/>
    <col min="1038" max="1038" width="10.88671875" style="7" customWidth="1"/>
    <col min="1039" max="1280" width="8.21875" style="7"/>
    <col min="1281" max="1281" width="16.5546875" style="7" customWidth="1"/>
    <col min="1282" max="1282" width="5" style="7" customWidth="1"/>
    <col min="1283" max="1283" width="15.6640625" style="7" customWidth="1"/>
    <col min="1284" max="1284" width="45.88671875" style="7" customWidth="1"/>
    <col min="1285" max="1285" width="5.109375" style="7" customWidth="1"/>
    <col min="1286" max="1286" width="8.109375" style="7" customWidth="1"/>
    <col min="1287" max="1288" width="10.5546875" style="7" customWidth="1"/>
    <col min="1289" max="1289" width="7.6640625" style="7" customWidth="1"/>
    <col min="1290" max="1292" width="9.77734375" style="7" customWidth="1"/>
    <col min="1293" max="1293" width="8.21875" style="7"/>
    <col min="1294" max="1294" width="10.88671875" style="7" customWidth="1"/>
    <col min="1295" max="1536" width="8.21875" style="7"/>
    <col min="1537" max="1537" width="16.5546875" style="7" customWidth="1"/>
    <col min="1538" max="1538" width="5" style="7" customWidth="1"/>
    <col min="1539" max="1539" width="15.6640625" style="7" customWidth="1"/>
    <col min="1540" max="1540" width="45.88671875" style="7" customWidth="1"/>
    <col min="1541" max="1541" width="5.109375" style="7" customWidth="1"/>
    <col min="1542" max="1542" width="8.109375" style="7" customWidth="1"/>
    <col min="1543" max="1544" width="10.5546875" style="7" customWidth="1"/>
    <col min="1545" max="1545" width="7.6640625" style="7" customWidth="1"/>
    <col min="1546" max="1548" width="9.77734375" style="7" customWidth="1"/>
    <col min="1549" max="1549" width="8.21875" style="7"/>
    <col min="1550" max="1550" width="10.88671875" style="7" customWidth="1"/>
    <col min="1551" max="1792" width="8.21875" style="7"/>
    <col min="1793" max="1793" width="16.5546875" style="7" customWidth="1"/>
    <col min="1794" max="1794" width="5" style="7" customWidth="1"/>
    <col min="1795" max="1795" width="15.6640625" style="7" customWidth="1"/>
    <col min="1796" max="1796" width="45.88671875" style="7" customWidth="1"/>
    <col min="1797" max="1797" width="5.109375" style="7" customWidth="1"/>
    <col min="1798" max="1798" width="8.109375" style="7" customWidth="1"/>
    <col min="1799" max="1800" width="10.5546875" style="7" customWidth="1"/>
    <col min="1801" max="1801" width="7.6640625" style="7" customWidth="1"/>
    <col min="1802" max="1804" width="9.77734375" style="7" customWidth="1"/>
    <col min="1805" max="1805" width="8.21875" style="7"/>
    <col min="1806" max="1806" width="10.88671875" style="7" customWidth="1"/>
    <col min="1807" max="2048" width="8.21875" style="7"/>
    <col min="2049" max="2049" width="16.5546875" style="7" customWidth="1"/>
    <col min="2050" max="2050" width="5" style="7" customWidth="1"/>
    <col min="2051" max="2051" width="15.6640625" style="7" customWidth="1"/>
    <col min="2052" max="2052" width="45.88671875" style="7" customWidth="1"/>
    <col min="2053" max="2053" width="5.109375" style="7" customWidth="1"/>
    <col min="2054" max="2054" width="8.109375" style="7" customWidth="1"/>
    <col min="2055" max="2056" width="10.5546875" style="7" customWidth="1"/>
    <col min="2057" max="2057" width="7.6640625" style="7" customWidth="1"/>
    <col min="2058" max="2060" width="9.77734375" style="7" customWidth="1"/>
    <col min="2061" max="2061" width="8.21875" style="7"/>
    <col min="2062" max="2062" width="10.88671875" style="7" customWidth="1"/>
    <col min="2063" max="2304" width="8.21875" style="7"/>
    <col min="2305" max="2305" width="16.5546875" style="7" customWidth="1"/>
    <col min="2306" max="2306" width="5" style="7" customWidth="1"/>
    <col min="2307" max="2307" width="15.6640625" style="7" customWidth="1"/>
    <col min="2308" max="2308" width="45.88671875" style="7" customWidth="1"/>
    <col min="2309" max="2309" width="5.109375" style="7" customWidth="1"/>
    <col min="2310" max="2310" width="8.109375" style="7" customWidth="1"/>
    <col min="2311" max="2312" width="10.5546875" style="7" customWidth="1"/>
    <col min="2313" max="2313" width="7.6640625" style="7" customWidth="1"/>
    <col min="2314" max="2316" width="9.77734375" style="7" customWidth="1"/>
    <col min="2317" max="2317" width="8.21875" style="7"/>
    <col min="2318" max="2318" width="10.88671875" style="7" customWidth="1"/>
    <col min="2319" max="2560" width="8.21875" style="7"/>
    <col min="2561" max="2561" width="16.5546875" style="7" customWidth="1"/>
    <col min="2562" max="2562" width="5" style="7" customWidth="1"/>
    <col min="2563" max="2563" width="15.6640625" style="7" customWidth="1"/>
    <col min="2564" max="2564" width="45.88671875" style="7" customWidth="1"/>
    <col min="2565" max="2565" width="5.109375" style="7" customWidth="1"/>
    <col min="2566" max="2566" width="8.109375" style="7" customWidth="1"/>
    <col min="2567" max="2568" width="10.5546875" style="7" customWidth="1"/>
    <col min="2569" max="2569" width="7.6640625" style="7" customWidth="1"/>
    <col min="2570" max="2572" width="9.77734375" style="7" customWidth="1"/>
    <col min="2573" max="2573" width="8.21875" style="7"/>
    <col min="2574" max="2574" width="10.88671875" style="7" customWidth="1"/>
    <col min="2575" max="2816" width="8.21875" style="7"/>
    <col min="2817" max="2817" width="16.5546875" style="7" customWidth="1"/>
    <col min="2818" max="2818" width="5" style="7" customWidth="1"/>
    <col min="2819" max="2819" width="15.6640625" style="7" customWidth="1"/>
    <col min="2820" max="2820" width="45.88671875" style="7" customWidth="1"/>
    <col min="2821" max="2821" width="5.109375" style="7" customWidth="1"/>
    <col min="2822" max="2822" width="8.109375" style="7" customWidth="1"/>
    <col min="2823" max="2824" width="10.5546875" style="7" customWidth="1"/>
    <col min="2825" max="2825" width="7.6640625" style="7" customWidth="1"/>
    <col min="2826" max="2828" width="9.77734375" style="7" customWidth="1"/>
    <col min="2829" max="2829" width="8.21875" style="7"/>
    <col min="2830" max="2830" width="10.88671875" style="7" customWidth="1"/>
    <col min="2831" max="3072" width="8.21875" style="7"/>
    <col min="3073" max="3073" width="16.5546875" style="7" customWidth="1"/>
    <col min="3074" max="3074" width="5" style="7" customWidth="1"/>
    <col min="3075" max="3075" width="15.6640625" style="7" customWidth="1"/>
    <col min="3076" max="3076" width="45.88671875" style="7" customWidth="1"/>
    <col min="3077" max="3077" width="5.109375" style="7" customWidth="1"/>
    <col min="3078" max="3078" width="8.109375" style="7" customWidth="1"/>
    <col min="3079" max="3080" width="10.5546875" style="7" customWidth="1"/>
    <col min="3081" max="3081" width="7.6640625" style="7" customWidth="1"/>
    <col min="3082" max="3084" width="9.77734375" style="7" customWidth="1"/>
    <col min="3085" max="3085" width="8.21875" style="7"/>
    <col min="3086" max="3086" width="10.88671875" style="7" customWidth="1"/>
    <col min="3087" max="3328" width="8.21875" style="7"/>
    <col min="3329" max="3329" width="16.5546875" style="7" customWidth="1"/>
    <col min="3330" max="3330" width="5" style="7" customWidth="1"/>
    <col min="3331" max="3331" width="15.6640625" style="7" customWidth="1"/>
    <col min="3332" max="3332" width="45.88671875" style="7" customWidth="1"/>
    <col min="3333" max="3333" width="5.109375" style="7" customWidth="1"/>
    <col min="3334" max="3334" width="8.109375" style="7" customWidth="1"/>
    <col min="3335" max="3336" width="10.5546875" style="7" customWidth="1"/>
    <col min="3337" max="3337" width="7.6640625" style="7" customWidth="1"/>
    <col min="3338" max="3340" width="9.77734375" style="7" customWidth="1"/>
    <col min="3341" max="3341" width="8.21875" style="7"/>
    <col min="3342" max="3342" width="10.88671875" style="7" customWidth="1"/>
    <col min="3343" max="3584" width="8.21875" style="7"/>
    <col min="3585" max="3585" width="16.5546875" style="7" customWidth="1"/>
    <col min="3586" max="3586" width="5" style="7" customWidth="1"/>
    <col min="3587" max="3587" width="15.6640625" style="7" customWidth="1"/>
    <col min="3588" max="3588" width="45.88671875" style="7" customWidth="1"/>
    <col min="3589" max="3589" width="5.109375" style="7" customWidth="1"/>
    <col min="3590" max="3590" width="8.109375" style="7" customWidth="1"/>
    <col min="3591" max="3592" width="10.5546875" style="7" customWidth="1"/>
    <col min="3593" max="3593" width="7.6640625" style="7" customWidth="1"/>
    <col min="3594" max="3596" width="9.77734375" style="7" customWidth="1"/>
    <col min="3597" max="3597" width="8.21875" style="7"/>
    <col min="3598" max="3598" width="10.88671875" style="7" customWidth="1"/>
    <col min="3599" max="3840" width="8.21875" style="7"/>
    <col min="3841" max="3841" width="16.5546875" style="7" customWidth="1"/>
    <col min="3842" max="3842" width="5" style="7" customWidth="1"/>
    <col min="3843" max="3843" width="15.6640625" style="7" customWidth="1"/>
    <col min="3844" max="3844" width="45.88671875" style="7" customWidth="1"/>
    <col min="3845" max="3845" width="5.109375" style="7" customWidth="1"/>
    <col min="3846" max="3846" width="8.109375" style="7" customWidth="1"/>
    <col min="3847" max="3848" width="10.5546875" style="7" customWidth="1"/>
    <col min="3849" max="3849" width="7.6640625" style="7" customWidth="1"/>
    <col min="3850" max="3852" width="9.77734375" style="7" customWidth="1"/>
    <col min="3853" max="3853" width="8.21875" style="7"/>
    <col min="3854" max="3854" width="10.88671875" style="7" customWidth="1"/>
    <col min="3855" max="4096" width="8.21875" style="7"/>
    <col min="4097" max="4097" width="16.5546875" style="7" customWidth="1"/>
    <col min="4098" max="4098" width="5" style="7" customWidth="1"/>
    <col min="4099" max="4099" width="15.6640625" style="7" customWidth="1"/>
    <col min="4100" max="4100" width="45.88671875" style="7" customWidth="1"/>
    <col min="4101" max="4101" width="5.109375" style="7" customWidth="1"/>
    <col min="4102" max="4102" width="8.109375" style="7" customWidth="1"/>
    <col min="4103" max="4104" width="10.5546875" style="7" customWidth="1"/>
    <col min="4105" max="4105" width="7.6640625" style="7" customWidth="1"/>
    <col min="4106" max="4108" width="9.77734375" style="7" customWidth="1"/>
    <col min="4109" max="4109" width="8.21875" style="7"/>
    <col min="4110" max="4110" width="10.88671875" style="7" customWidth="1"/>
    <col min="4111" max="4352" width="8.21875" style="7"/>
    <col min="4353" max="4353" width="16.5546875" style="7" customWidth="1"/>
    <col min="4354" max="4354" width="5" style="7" customWidth="1"/>
    <col min="4355" max="4355" width="15.6640625" style="7" customWidth="1"/>
    <col min="4356" max="4356" width="45.88671875" style="7" customWidth="1"/>
    <col min="4357" max="4357" width="5.109375" style="7" customWidth="1"/>
    <col min="4358" max="4358" width="8.109375" style="7" customWidth="1"/>
    <col min="4359" max="4360" width="10.5546875" style="7" customWidth="1"/>
    <col min="4361" max="4361" width="7.6640625" style="7" customWidth="1"/>
    <col min="4362" max="4364" width="9.77734375" style="7" customWidth="1"/>
    <col min="4365" max="4365" width="8.21875" style="7"/>
    <col min="4366" max="4366" width="10.88671875" style="7" customWidth="1"/>
    <col min="4367" max="4608" width="8.21875" style="7"/>
    <col min="4609" max="4609" width="16.5546875" style="7" customWidth="1"/>
    <col min="4610" max="4610" width="5" style="7" customWidth="1"/>
    <col min="4611" max="4611" width="15.6640625" style="7" customWidth="1"/>
    <col min="4612" max="4612" width="45.88671875" style="7" customWidth="1"/>
    <col min="4613" max="4613" width="5.109375" style="7" customWidth="1"/>
    <col min="4614" max="4614" width="8.109375" style="7" customWidth="1"/>
    <col min="4615" max="4616" width="10.5546875" style="7" customWidth="1"/>
    <col min="4617" max="4617" width="7.6640625" style="7" customWidth="1"/>
    <col min="4618" max="4620" width="9.77734375" style="7" customWidth="1"/>
    <col min="4621" max="4621" width="8.21875" style="7"/>
    <col min="4622" max="4622" width="10.88671875" style="7" customWidth="1"/>
    <col min="4623" max="4864" width="8.21875" style="7"/>
    <col min="4865" max="4865" width="16.5546875" style="7" customWidth="1"/>
    <col min="4866" max="4866" width="5" style="7" customWidth="1"/>
    <col min="4867" max="4867" width="15.6640625" style="7" customWidth="1"/>
    <col min="4868" max="4868" width="45.88671875" style="7" customWidth="1"/>
    <col min="4869" max="4869" width="5.109375" style="7" customWidth="1"/>
    <col min="4870" max="4870" width="8.109375" style="7" customWidth="1"/>
    <col min="4871" max="4872" width="10.5546875" style="7" customWidth="1"/>
    <col min="4873" max="4873" width="7.6640625" style="7" customWidth="1"/>
    <col min="4874" max="4876" width="9.77734375" style="7" customWidth="1"/>
    <col min="4877" max="4877" width="8.21875" style="7"/>
    <col min="4878" max="4878" width="10.88671875" style="7" customWidth="1"/>
    <col min="4879" max="5120" width="8.21875" style="7"/>
    <col min="5121" max="5121" width="16.5546875" style="7" customWidth="1"/>
    <col min="5122" max="5122" width="5" style="7" customWidth="1"/>
    <col min="5123" max="5123" width="15.6640625" style="7" customWidth="1"/>
    <col min="5124" max="5124" width="45.88671875" style="7" customWidth="1"/>
    <col min="5125" max="5125" width="5.109375" style="7" customWidth="1"/>
    <col min="5126" max="5126" width="8.109375" style="7" customWidth="1"/>
    <col min="5127" max="5128" width="10.5546875" style="7" customWidth="1"/>
    <col min="5129" max="5129" width="7.6640625" style="7" customWidth="1"/>
    <col min="5130" max="5132" width="9.77734375" style="7" customWidth="1"/>
    <col min="5133" max="5133" width="8.21875" style="7"/>
    <col min="5134" max="5134" width="10.88671875" style="7" customWidth="1"/>
    <col min="5135" max="5376" width="8.21875" style="7"/>
    <col min="5377" max="5377" width="16.5546875" style="7" customWidth="1"/>
    <col min="5378" max="5378" width="5" style="7" customWidth="1"/>
    <col min="5379" max="5379" width="15.6640625" style="7" customWidth="1"/>
    <col min="5380" max="5380" width="45.88671875" style="7" customWidth="1"/>
    <col min="5381" max="5381" width="5.109375" style="7" customWidth="1"/>
    <col min="5382" max="5382" width="8.109375" style="7" customWidth="1"/>
    <col min="5383" max="5384" width="10.5546875" style="7" customWidth="1"/>
    <col min="5385" max="5385" width="7.6640625" style="7" customWidth="1"/>
    <col min="5386" max="5388" width="9.77734375" style="7" customWidth="1"/>
    <col min="5389" max="5389" width="8.21875" style="7"/>
    <col min="5390" max="5390" width="10.88671875" style="7" customWidth="1"/>
    <col min="5391" max="5632" width="8.21875" style="7"/>
    <col min="5633" max="5633" width="16.5546875" style="7" customWidth="1"/>
    <col min="5634" max="5634" width="5" style="7" customWidth="1"/>
    <col min="5635" max="5635" width="15.6640625" style="7" customWidth="1"/>
    <col min="5636" max="5636" width="45.88671875" style="7" customWidth="1"/>
    <col min="5637" max="5637" width="5.109375" style="7" customWidth="1"/>
    <col min="5638" max="5638" width="8.109375" style="7" customWidth="1"/>
    <col min="5639" max="5640" width="10.5546875" style="7" customWidth="1"/>
    <col min="5641" max="5641" width="7.6640625" style="7" customWidth="1"/>
    <col min="5642" max="5644" width="9.77734375" style="7" customWidth="1"/>
    <col min="5645" max="5645" width="8.21875" style="7"/>
    <col min="5646" max="5646" width="10.88671875" style="7" customWidth="1"/>
    <col min="5647" max="5888" width="8.21875" style="7"/>
    <col min="5889" max="5889" width="16.5546875" style="7" customWidth="1"/>
    <col min="5890" max="5890" width="5" style="7" customWidth="1"/>
    <col min="5891" max="5891" width="15.6640625" style="7" customWidth="1"/>
    <col min="5892" max="5892" width="45.88671875" style="7" customWidth="1"/>
    <col min="5893" max="5893" width="5.109375" style="7" customWidth="1"/>
    <col min="5894" max="5894" width="8.109375" style="7" customWidth="1"/>
    <col min="5895" max="5896" width="10.5546875" style="7" customWidth="1"/>
    <col min="5897" max="5897" width="7.6640625" style="7" customWidth="1"/>
    <col min="5898" max="5900" width="9.77734375" style="7" customWidth="1"/>
    <col min="5901" max="5901" width="8.21875" style="7"/>
    <col min="5902" max="5902" width="10.88671875" style="7" customWidth="1"/>
    <col min="5903" max="6144" width="8.21875" style="7"/>
    <col min="6145" max="6145" width="16.5546875" style="7" customWidth="1"/>
    <col min="6146" max="6146" width="5" style="7" customWidth="1"/>
    <col min="6147" max="6147" width="15.6640625" style="7" customWidth="1"/>
    <col min="6148" max="6148" width="45.88671875" style="7" customWidth="1"/>
    <col min="6149" max="6149" width="5.109375" style="7" customWidth="1"/>
    <col min="6150" max="6150" width="8.109375" style="7" customWidth="1"/>
    <col min="6151" max="6152" width="10.5546875" style="7" customWidth="1"/>
    <col min="6153" max="6153" width="7.6640625" style="7" customWidth="1"/>
    <col min="6154" max="6156" width="9.77734375" style="7" customWidth="1"/>
    <col min="6157" max="6157" width="8.21875" style="7"/>
    <col min="6158" max="6158" width="10.88671875" style="7" customWidth="1"/>
    <col min="6159" max="6400" width="8.21875" style="7"/>
    <col min="6401" max="6401" width="16.5546875" style="7" customWidth="1"/>
    <col min="6402" max="6402" width="5" style="7" customWidth="1"/>
    <col min="6403" max="6403" width="15.6640625" style="7" customWidth="1"/>
    <col min="6404" max="6404" width="45.88671875" style="7" customWidth="1"/>
    <col min="6405" max="6405" width="5.109375" style="7" customWidth="1"/>
    <col min="6406" max="6406" width="8.109375" style="7" customWidth="1"/>
    <col min="6407" max="6408" width="10.5546875" style="7" customWidth="1"/>
    <col min="6409" max="6409" width="7.6640625" style="7" customWidth="1"/>
    <col min="6410" max="6412" width="9.77734375" style="7" customWidth="1"/>
    <col min="6413" max="6413" width="8.21875" style="7"/>
    <col min="6414" max="6414" width="10.88671875" style="7" customWidth="1"/>
    <col min="6415" max="6656" width="8.21875" style="7"/>
    <col min="6657" max="6657" width="16.5546875" style="7" customWidth="1"/>
    <col min="6658" max="6658" width="5" style="7" customWidth="1"/>
    <col min="6659" max="6659" width="15.6640625" style="7" customWidth="1"/>
    <col min="6660" max="6660" width="45.88671875" style="7" customWidth="1"/>
    <col min="6661" max="6661" width="5.109375" style="7" customWidth="1"/>
    <col min="6662" max="6662" width="8.109375" style="7" customWidth="1"/>
    <col min="6663" max="6664" width="10.5546875" style="7" customWidth="1"/>
    <col min="6665" max="6665" width="7.6640625" style="7" customWidth="1"/>
    <col min="6666" max="6668" width="9.77734375" style="7" customWidth="1"/>
    <col min="6669" max="6669" width="8.21875" style="7"/>
    <col min="6670" max="6670" width="10.88671875" style="7" customWidth="1"/>
    <col min="6671" max="6912" width="8.21875" style="7"/>
    <col min="6913" max="6913" width="16.5546875" style="7" customWidth="1"/>
    <col min="6914" max="6914" width="5" style="7" customWidth="1"/>
    <col min="6915" max="6915" width="15.6640625" style="7" customWidth="1"/>
    <col min="6916" max="6916" width="45.88671875" style="7" customWidth="1"/>
    <col min="6917" max="6917" width="5.109375" style="7" customWidth="1"/>
    <col min="6918" max="6918" width="8.109375" style="7" customWidth="1"/>
    <col min="6919" max="6920" width="10.5546875" style="7" customWidth="1"/>
    <col min="6921" max="6921" width="7.6640625" style="7" customWidth="1"/>
    <col min="6922" max="6924" width="9.77734375" style="7" customWidth="1"/>
    <col min="6925" max="6925" width="8.21875" style="7"/>
    <col min="6926" max="6926" width="10.88671875" style="7" customWidth="1"/>
    <col min="6927" max="7168" width="8.21875" style="7"/>
    <col min="7169" max="7169" width="16.5546875" style="7" customWidth="1"/>
    <col min="7170" max="7170" width="5" style="7" customWidth="1"/>
    <col min="7171" max="7171" width="15.6640625" style="7" customWidth="1"/>
    <col min="7172" max="7172" width="45.88671875" style="7" customWidth="1"/>
    <col min="7173" max="7173" width="5.109375" style="7" customWidth="1"/>
    <col min="7174" max="7174" width="8.109375" style="7" customWidth="1"/>
    <col min="7175" max="7176" width="10.5546875" style="7" customWidth="1"/>
    <col min="7177" max="7177" width="7.6640625" style="7" customWidth="1"/>
    <col min="7178" max="7180" width="9.77734375" style="7" customWidth="1"/>
    <col min="7181" max="7181" width="8.21875" style="7"/>
    <col min="7182" max="7182" width="10.88671875" style="7" customWidth="1"/>
    <col min="7183" max="7424" width="8.21875" style="7"/>
    <col min="7425" max="7425" width="16.5546875" style="7" customWidth="1"/>
    <col min="7426" max="7426" width="5" style="7" customWidth="1"/>
    <col min="7427" max="7427" width="15.6640625" style="7" customWidth="1"/>
    <col min="7428" max="7428" width="45.88671875" style="7" customWidth="1"/>
    <col min="7429" max="7429" width="5.109375" style="7" customWidth="1"/>
    <col min="7430" max="7430" width="8.109375" style="7" customWidth="1"/>
    <col min="7431" max="7432" width="10.5546875" style="7" customWidth="1"/>
    <col min="7433" max="7433" width="7.6640625" style="7" customWidth="1"/>
    <col min="7434" max="7436" width="9.77734375" style="7" customWidth="1"/>
    <col min="7437" max="7437" width="8.21875" style="7"/>
    <col min="7438" max="7438" width="10.88671875" style="7" customWidth="1"/>
    <col min="7439" max="7680" width="8.21875" style="7"/>
    <col min="7681" max="7681" width="16.5546875" style="7" customWidth="1"/>
    <col min="7682" max="7682" width="5" style="7" customWidth="1"/>
    <col min="7683" max="7683" width="15.6640625" style="7" customWidth="1"/>
    <col min="7684" max="7684" width="45.88671875" style="7" customWidth="1"/>
    <col min="7685" max="7685" width="5.109375" style="7" customWidth="1"/>
    <col min="7686" max="7686" width="8.109375" style="7" customWidth="1"/>
    <col min="7687" max="7688" width="10.5546875" style="7" customWidth="1"/>
    <col min="7689" max="7689" width="7.6640625" style="7" customWidth="1"/>
    <col min="7690" max="7692" width="9.77734375" style="7" customWidth="1"/>
    <col min="7693" max="7693" width="8.21875" style="7"/>
    <col min="7694" max="7694" width="10.88671875" style="7" customWidth="1"/>
    <col min="7695" max="7936" width="8.21875" style="7"/>
    <col min="7937" max="7937" width="16.5546875" style="7" customWidth="1"/>
    <col min="7938" max="7938" width="5" style="7" customWidth="1"/>
    <col min="7939" max="7939" width="15.6640625" style="7" customWidth="1"/>
    <col min="7940" max="7940" width="45.88671875" style="7" customWidth="1"/>
    <col min="7941" max="7941" width="5.109375" style="7" customWidth="1"/>
    <col min="7942" max="7942" width="8.109375" style="7" customWidth="1"/>
    <col min="7943" max="7944" width="10.5546875" style="7" customWidth="1"/>
    <col min="7945" max="7945" width="7.6640625" style="7" customWidth="1"/>
    <col min="7946" max="7948" width="9.77734375" style="7" customWidth="1"/>
    <col min="7949" max="7949" width="8.21875" style="7"/>
    <col min="7950" max="7950" width="10.88671875" style="7" customWidth="1"/>
    <col min="7951" max="8192" width="8.21875" style="7"/>
    <col min="8193" max="8193" width="16.5546875" style="7" customWidth="1"/>
    <col min="8194" max="8194" width="5" style="7" customWidth="1"/>
    <col min="8195" max="8195" width="15.6640625" style="7" customWidth="1"/>
    <col min="8196" max="8196" width="45.88671875" style="7" customWidth="1"/>
    <col min="8197" max="8197" width="5.109375" style="7" customWidth="1"/>
    <col min="8198" max="8198" width="8.109375" style="7" customWidth="1"/>
    <col min="8199" max="8200" width="10.5546875" style="7" customWidth="1"/>
    <col min="8201" max="8201" width="7.6640625" style="7" customWidth="1"/>
    <col min="8202" max="8204" width="9.77734375" style="7" customWidth="1"/>
    <col min="8205" max="8205" width="8.21875" style="7"/>
    <col min="8206" max="8206" width="10.88671875" style="7" customWidth="1"/>
    <col min="8207" max="8448" width="8.21875" style="7"/>
    <col min="8449" max="8449" width="16.5546875" style="7" customWidth="1"/>
    <col min="8450" max="8450" width="5" style="7" customWidth="1"/>
    <col min="8451" max="8451" width="15.6640625" style="7" customWidth="1"/>
    <col min="8452" max="8452" width="45.88671875" style="7" customWidth="1"/>
    <col min="8453" max="8453" width="5.109375" style="7" customWidth="1"/>
    <col min="8454" max="8454" width="8.109375" style="7" customWidth="1"/>
    <col min="8455" max="8456" width="10.5546875" style="7" customWidth="1"/>
    <col min="8457" max="8457" width="7.6640625" style="7" customWidth="1"/>
    <col min="8458" max="8460" width="9.77734375" style="7" customWidth="1"/>
    <col min="8461" max="8461" width="8.21875" style="7"/>
    <col min="8462" max="8462" width="10.88671875" style="7" customWidth="1"/>
    <col min="8463" max="8704" width="8.21875" style="7"/>
    <col min="8705" max="8705" width="16.5546875" style="7" customWidth="1"/>
    <col min="8706" max="8706" width="5" style="7" customWidth="1"/>
    <col min="8707" max="8707" width="15.6640625" style="7" customWidth="1"/>
    <col min="8708" max="8708" width="45.88671875" style="7" customWidth="1"/>
    <col min="8709" max="8709" width="5.109375" style="7" customWidth="1"/>
    <col min="8710" max="8710" width="8.109375" style="7" customWidth="1"/>
    <col min="8711" max="8712" width="10.5546875" style="7" customWidth="1"/>
    <col min="8713" max="8713" width="7.6640625" style="7" customWidth="1"/>
    <col min="8714" max="8716" width="9.77734375" style="7" customWidth="1"/>
    <col min="8717" max="8717" width="8.21875" style="7"/>
    <col min="8718" max="8718" width="10.88671875" style="7" customWidth="1"/>
    <col min="8719" max="8960" width="8.21875" style="7"/>
    <col min="8961" max="8961" width="16.5546875" style="7" customWidth="1"/>
    <col min="8962" max="8962" width="5" style="7" customWidth="1"/>
    <col min="8963" max="8963" width="15.6640625" style="7" customWidth="1"/>
    <col min="8964" max="8964" width="45.88671875" style="7" customWidth="1"/>
    <col min="8965" max="8965" width="5.109375" style="7" customWidth="1"/>
    <col min="8966" max="8966" width="8.109375" style="7" customWidth="1"/>
    <col min="8967" max="8968" width="10.5546875" style="7" customWidth="1"/>
    <col min="8969" max="8969" width="7.6640625" style="7" customWidth="1"/>
    <col min="8970" max="8972" width="9.77734375" style="7" customWidth="1"/>
    <col min="8973" max="8973" width="8.21875" style="7"/>
    <col min="8974" max="8974" width="10.88671875" style="7" customWidth="1"/>
    <col min="8975" max="9216" width="8.21875" style="7"/>
    <col min="9217" max="9217" width="16.5546875" style="7" customWidth="1"/>
    <col min="9218" max="9218" width="5" style="7" customWidth="1"/>
    <col min="9219" max="9219" width="15.6640625" style="7" customWidth="1"/>
    <col min="9220" max="9220" width="45.88671875" style="7" customWidth="1"/>
    <col min="9221" max="9221" width="5.109375" style="7" customWidth="1"/>
    <col min="9222" max="9222" width="8.109375" style="7" customWidth="1"/>
    <col min="9223" max="9224" width="10.5546875" style="7" customWidth="1"/>
    <col min="9225" max="9225" width="7.6640625" style="7" customWidth="1"/>
    <col min="9226" max="9228" width="9.77734375" style="7" customWidth="1"/>
    <col min="9229" max="9229" width="8.21875" style="7"/>
    <col min="9230" max="9230" width="10.88671875" style="7" customWidth="1"/>
    <col min="9231" max="9472" width="8.21875" style="7"/>
    <col min="9473" max="9473" width="16.5546875" style="7" customWidth="1"/>
    <col min="9474" max="9474" width="5" style="7" customWidth="1"/>
    <col min="9475" max="9475" width="15.6640625" style="7" customWidth="1"/>
    <col min="9476" max="9476" width="45.88671875" style="7" customWidth="1"/>
    <col min="9477" max="9477" width="5.109375" style="7" customWidth="1"/>
    <col min="9478" max="9478" width="8.109375" style="7" customWidth="1"/>
    <col min="9479" max="9480" width="10.5546875" style="7" customWidth="1"/>
    <col min="9481" max="9481" width="7.6640625" style="7" customWidth="1"/>
    <col min="9482" max="9484" width="9.77734375" style="7" customWidth="1"/>
    <col min="9485" max="9485" width="8.21875" style="7"/>
    <col min="9486" max="9486" width="10.88671875" style="7" customWidth="1"/>
    <col min="9487" max="9728" width="8.21875" style="7"/>
    <col min="9729" max="9729" width="16.5546875" style="7" customWidth="1"/>
    <col min="9730" max="9730" width="5" style="7" customWidth="1"/>
    <col min="9731" max="9731" width="15.6640625" style="7" customWidth="1"/>
    <col min="9732" max="9732" width="45.88671875" style="7" customWidth="1"/>
    <col min="9733" max="9733" width="5.109375" style="7" customWidth="1"/>
    <col min="9734" max="9734" width="8.109375" style="7" customWidth="1"/>
    <col min="9735" max="9736" width="10.5546875" style="7" customWidth="1"/>
    <col min="9737" max="9737" width="7.6640625" style="7" customWidth="1"/>
    <col min="9738" max="9740" width="9.77734375" style="7" customWidth="1"/>
    <col min="9741" max="9741" width="8.21875" style="7"/>
    <col min="9742" max="9742" width="10.88671875" style="7" customWidth="1"/>
    <col min="9743" max="9984" width="8.21875" style="7"/>
    <col min="9985" max="9985" width="16.5546875" style="7" customWidth="1"/>
    <col min="9986" max="9986" width="5" style="7" customWidth="1"/>
    <col min="9987" max="9987" width="15.6640625" style="7" customWidth="1"/>
    <col min="9988" max="9988" width="45.88671875" style="7" customWidth="1"/>
    <col min="9989" max="9989" width="5.109375" style="7" customWidth="1"/>
    <col min="9990" max="9990" width="8.109375" style="7" customWidth="1"/>
    <col min="9991" max="9992" width="10.5546875" style="7" customWidth="1"/>
    <col min="9993" max="9993" width="7.6640625" style="7" customWidth="1"/>
    <col min="9994" max="9996" width="9.77734375" style="7" customWidth="1"/>
    <col min="9997" max="9997" width="8.21875" style="7"/>
    <col min="9998" max="9998" width="10.88671875" style="7" customWidth="1"/>
    <col min="9999" max="10240" width="8.21875" style="7"/>
    <col min="10241" max="10241" width="16.5546875" style="7" customWidth="1"/>
    <col min="10242" max="10242" width="5" style="7" customWidth="1"/>
    <col min="10243" max="10243" width="15.6640625" style="7" customWidth="1"/>
    <col min="10244" max="10244" width="45.88671875" style="7" customWidth="1"/>
    <col min="10245" max="10245" width="5.109375" style="7" customWidth="1"/>
    <col min="10246" max="10246" width="8.109375" style="7" customWidth="1"/>
    <col min="10247" max="10248" width="10.5546875" style="7" customWidth="1"/>
    <col min="10249" max="10249" width="7.6640625" style="7" customWidth="1"/>
    <col min="10250" max="10252" width="9.77734375" style="7" customWidth="1"/>
    <col min="10253" max="10253" width="8.21875" style="7"/>
    <col min="10254" max="10254" width="10.88671875" style="7" customWidth="1"/>
    <col min="10255" max="10496" width="8.21875" style="7"/>
    <col min="10497" max="10497" width="16.5546875" style="7" customWidth="1"/>
    <col min="10498" max="10498" width="5" style="7" customWidth="1"/>
    <col min="10499" max="10499" width="15.6640625" style="7" customWidth="1"/>
    <col min="10500" max="10500" width="45.88671875" style="7" customWidth="1"/>
    <col min="10501" max="10501" width="5.109375" style="7" customWidth="1"/>
    <col min="10502" max="10502" width="8.109375" style="7" customWidth="1"/>
    <col min="10503" max="10504" width="10.5546875" style="7" customWidth="1"/>
    <col min="10505" max="10505" width="7.6640625" style="7" customWidth="1"/>
    <col min="10506" max="10508" width="9.77734375" style="7" customWidth="1"/>
    <col min="10509" max="10509" width="8.21875" style="7"/>
    <col min="10510" max="10510" width="10.88671875" style="7" customWidth="1"/>
    <col min="10511" max="10752" width="8.21875" style="7"/>
    <col min="10753" max="10753" width="16.5546875" style="7" customWidth="1"/>
    <col min="10754" max="10754" width="5" style="7" customWidth="1"/>
    <col min="10755" max="10755" width="15.6640625" style="7" customWidth="1"/>
    <col min="10756" max="10756" width="45.88671875" style="7" customWidth="1"/>
    <col min="10757" max="10757" width="5.109375" style="7" customWidth="1"/>
    <col min="10758" max="10758" width="8.109375" style="7" customWidth="1"/>
    <col min="10759" max="10760" width="10.5546875" style="7" customWidth="1"/>
    <col min="10761" max="10761" width="7.6640625" style="7" customWidth="1"/>
    <col min="10762" max="10764" width="9.77734375" style="7" customWidth="1"/>
    <col min="10765" max="10765" width="8.21875" style="7"/>
    <col min="10766" max="10766" width="10.88671875" style="7" customWidth="1"/>
    <col min="10767" max="11008" width="8.21875" style="7"/>
    <col min="11009" max="11009" width="16.5546875" style="7" customWidth="1"/>
    <col min="11010" max="11010" width="5" style="7" customWidth="1"/>
    <col min="11011" max="11011" width="15.6640625" style="7" customWidth="1"/>
    <col min="11012" max="11012" width="45.88671875" style="7" customWidth="1"/>
    <col min="11013" max="11013" width="5.109375" style="7" customWidth="1"/>
    <col min="11014" max="11014" width="8.109375" style="7" customWidth="1"/>
    <col min="11015" max="11016" width="10.5546875" style="7" customWidth="1"/>
    <col min="11017" max="11017" width="7.6640625" style="7" customWidth="1"/>
    <col min="11018" max="11020" width="9.77734375" style="7" customWidth="1"/>
    <col min="11021" max="11021" width="8.21875" style="7"/>
    <col min="11022" max="11022" width="10.88671875" style="7" customWidth="1"/>
    <col min="11023" max="11264" width="8.21875" style="7"/>
    <col min="11265" max="11265" width="16.5546875" style="7" customWidth="1"/>
    <col min="11266" max="11266" width="5" style="7" customWidth="1"/>
    <col min="11267" max="11267" width="15.6640625" style="7" customWidth="1"/>
    <col min="11268" max="11268" width="45.88671875" style="7" customWidth="1"/>
    <col min="11269" max="11269" width="5.109375" style="7" customWidth="1"/>
    <col min="11270" max="11270" width="8.109375" style="7" customWidth="1"/>
    <col min="11271" max="11272" width="10.5546875" style="7" customWidth="1"/>
    <col min="11273" max="11273" width="7.6640625" style="7" customWidth="1"/>
    <col min="11274" max="11276" width="9.77734375" style="7" customWidth="1"/>
    <col min="11277" max="11277" width="8.21875" style="7"/>
    <col min="11278" max="11278" width="10.88671875" style="7" customWidth="1"/>
    <col min="11279" max="11520" width="8.21875" style="7"/>
    <col min="11521" max="11521" width="16.5546875" style="7" customWidth="1"/>
    <col min="11522" max="11522" width="5" style="7" customWidth="1"/>
    <col min="11523" max="11523" width="15.6640625" style="7" customWidth="1"/>
    <col min="11524" max="11524" width="45.88671875" style="7" customWidth="1"/>
    <col min="11525" max="11525" width="5.109375" style="7" customWidth="1"/>
    <col min="11526" max="11526" width="8.109375" style="7" customWidth="1"/>
    <col min="11527" max="11528" width="10.5546875" style="7" customWidth="1"/>
    <col min="11529" max="11529" width="7.6640625" style="7" customWidth="1"/>
    <col min="11530" max="11532" width="9.77734375" style="7" customWidth="1"/>
    <col min="11533" max="11533" width="8.21875" style="7"/>
    <col min="11534" max="11534" width="10.88671875" style="7" customWidth="1"/>
    <col min="11535" max="11776" width="8.21875" style="7"/>
    <col min="11777" max="11777" width="16.5546875" style="7" customWidth="1"/>
    <col min="11778" max="11778" width="5" style="7" customWidth="1"/>
    <col min="11779" max="11779" width="15.6640625" style="7" customWidth="1"/>
    <col min="11780" max="11780" width="45.88671875" style="7" customWidth="1"/>
    <col min="11781" max="11781" width="5.109375" style="7" customWidth="1"/>
    <col min="11782" max="11782" width="8.109375" style="7" customWidth="1"/>
    <col min="11783" max="11784" width="10.5546875" style="7" customWidth="1"/>
    <col min="11785" max="11785" width="7.6640625" style="7" customWidth="1"/>
    <col min="11786" max="11788" width="9.77734375" style="7" customWidth="1"/>
    <col min="11789" max="11789" width="8.21875" style="7"/>
    <col min="11790" max="11790" width="10.88671875" style="7" customWidth="1"/>
    <col min="11791" max="12032" width="8.21875" style="7"/>
    <col min="12033" max="12033" width="16.5546875" style="7" customWidth="1"/>
    <col min="12034" max="12034" width="5" style="7" customWidth="1"/>
    <col min="12035" max="12035" width="15.6640625" style="7" customWidth="1"/>
    <col min="12036" max="12036" width="45.88671875" style="7" customWidth="1"/>
    <col min="12037" max="12037" width="5.109375" style="7" customWidth="1"/>
    <col min="12038" max="12038" width="8.109375" style="7" customWidth="1"/>
    <col min="12039" max="12040" width="10.5546875" style="7" customWidth="1"/>
    <col min="12041" max="12041" width="7.6640625" style="7" customWidth="1"/>
    <col min="12042" max="12044" width="9.77734375" style="7" customWidth="1"/>
    <col min="12045" max="12045" width="8.21875" style="7"/>
    <col min="12046" max="12046" width="10.88671875" style="7" customWidth="1"/>
    <col min="12047" max="12288" width="8.21875" style="7"/>
    <col min="12289" max="12289" width="16.5546875" style="7" customWidth="1"/>
    <col min="12290" max="12290" width="5" style="7" customWidth="1"/>
    <col min="12291" max="12291" width="15.6640625" style="7" customWidth="1"/>
    <col min="12292" max="12292" width="45.88671875" style="7" customWidth="1"/>
    <col min="12293" max="12293" width="5.109375" style="7" customWidth="1"/>
    <col min="12294" max="12294" width="8.109375" style="7" customWidth="1"/>
    <col min="12295" max="12296" width="10.5546875" style="7" customWidth="1"/>
    <col min="12297" max="12297" width="7.6640625" style="7" customWidth="1"/>
    <col min="12298" max="12300" width="9.77734375" style="7" customWidth="1"/>
    <col min="12301" max="12301" width="8.21875" style="7"/>
    <col min="12302" max="12302" width="10.88671875" style="7" customWidth="1"/>
    <col min="12303" max="12544" width="8.21875" style="7"/>
    <col min="12545" max="12545" width="16.5546875" style="7" customWidth="1"/>
    <col min="12546" max="12546" width="5" style="7" customWidth="1"/>
    <col min="12547" max="12547" width="15.6640625" style="7" customWidth="1"/>
    <col min="12548" max="12548" width="45.88671875" style="7" customWidth="1"/>
    <col min="12549" max="12549" width="5.109375" style="7" customWidth="1"/>
    <col min="12550" max="12550" width="8.109375" style="7" customWidth="1"/>
    <col min="12551" max="12552" width="10.5546875" style="7" customWidth="1"/>
    <col min="12553" max="12553" width="7.6640625" style="7" customWidth="1"/>
    <col min="12554" max="12556" width="9.77734375" style="7" customWidth="1"/>
    <col min="12557" max="12557" width="8.21875" style="7"/>
    <col min="12558" max="12558" width="10.88671875" style="7" customWidth="1"/>
    <col min="12559" max="12800" width="8.21875" style="7"/>
    <col min="12801" max="12801" width="16.5546875" style="7" customWidth="1"/>
    <col min="12802" max="12802" width="5" style="7" customWidth="1"/>
    <col min="12803" max="12803" width="15.6640625" style="7" customWidth="1"/>
    <col min="12804" max="12804" width="45.88671875" style="7" customWidth="1"/>
    <col min="12805" max="12805" width="5.109375" style="7" customWidth="1"/>
    <col min="12806" max="12806" width="8.109375" style="7" customWidth="1"/>
    <col min="12807" max="12808" width="10.5546875" style="7" customWidth="1"/>
    <col min="12809" max="12809" width="7.6640625" style="7" customWidth="1"/>
    <col min="12810" max="12812" width="9.77734375" style="7" customWidth="1"/>
    <col min="12813" max="12813" width="8.21875" style="7"/>
    <col min="12814" max="12814" width="10.88671875" style="7" customWidth="1"/>
    <col min="12815" max="13056" width="8.21875" style="7"/>
    <col min="13057" max="13057" width="16.5546875" style="7" customWidth="1"/>
    <col min="13058" max="13058" width="5" style="7" customWidth="1"/>
    <col min="13059" max="13059" width="15.6640625" style="7" customWidth="1"/>
    <col min="13060" max="13060" width="45.88671875" style="7" customWidth="1"/>
    <col min="13061" max="13061" width="5.109375" style="7" customWidth="1"/>
    <col min="13062" max="13062" width="8.109375" style="7" customWidth="1"/>
    <col min="13063" max="13064" width="10.5546875" style="7" customWidth="1"/>
    <col min="13065" max="13065" width="7.6640625" style="7" customWidth="1"/>
    <col min="13066" max="13068" width="9.77734375" style="7" customWidth="1"/>
    <col min="13069" max="13069" width="8.21875" style="7"/>
    <col min="13070" max="13070" width="10.88671875" style="7" customWidth="1"/>
    <col min="13071" max="13312" width="8.21875" style="7"/>
    <col min="13313" max="13313" width="16.5546875" style="7" customWidth="1"/>
    <col min="13314" max="13314" width="5" style="7" customWidth="1"/>
    <col min="13315" max="13315" width="15.6640625" style="7" customWidth="1"/>
    <col min="13316" max="13316" width="45.88671875" style="7" customWidth="1"/>
    <col min="13317" max="13317" width="5.109375" style="7" customWidth="1"/>
    <col min="13318" max="13318" width="8.109375" style="7" customWidth="1"/>
    <col min="13319" max="13320" width="10.5546875" style="7" customWidth="1"/>
    <col min="13321" max="13321" width="7.6640625" style="7" customWidth="1"/>
    <col min="13322" max="13324" width="9.77734375" style="7" customWidth="1"/>
    <col min="13325" max="13325" width="8.21875" style="7"/>
    <col min="13326" max="13326" width="10.88671875" style="7" customWidth="1"/>
    <col min="13327" max="13568" width="8.21875" style="7"/>
    <col min="13569" max="13569" width="16.5546875" style="7" customWidth="1"/>
    <col min="13570" max="13570" width="5" style="7" customWidth="1"/>
    <col min="13571" max="13571" width="15.6640625" style="7" customWidth="1"/>
    <col min="13572" max="13572" width="45.88671875" style="7" customWidth="1"/>
    <col min="13573" max="13573" width="5.109375" style="7" customWidth="1"/>
    <col min="13574" max="13574" width="8.109375" style="7" customWidth="1"/>
    <col min="13575" max="13576" width="10.5546875" style="7" customWidth="1"/>
    <col min="13577" max="13577" width="7.6640625" style="7" customWidth="1"/>
    <col min="13578" max="13580" width="9.77734375" style="7" customWidth="1"/>
    <col min="13581" max="13581" width="8.21875" style="7"/>
    <col min="13582" max="13582" width="10.88671875" style="7" customWidth="1"/>
    <col min="13583" max="13824" width="8.21875" style="7"/>
    <col min="13825" max="13825" width="16.5546875" style="7" customWidth="1"/>
    <col min="13826" max="13826" width="5" style="7" customWidth="1"/>
    <col min="13827" max="13827" width="15.6640625" style="7" customWidth="1"/>
    <col min="13828" max="13828" width="45.88671875" style="7" customWidth="1"/>
    <col min="13829" max="13829" width="5.109375" style="7" customWidth="1"/>
    <col min="13830" max="13830" width="8.109375" style="7" customWidth="1"/>
    <col min="13831" max="13832" width="10.5546875" style="7" customWidth="1"/>
    <col min="13833" max="13833" width="7.6640625" style="7" customWidth="1"/>
    <col min="13834" max="13836" width="9.77734375" style="7" customWidth="1"/>
    <col min="13837" max="13837" width="8.21875" style="7"/>
    <col min="13838" max="13838" width="10.88671875" style="7" customWidth="1"/>
    <col min="13839" max="14080" width="8.21875" style="7"/>
    <col min="14081" max="14081" width="16.5546875" style="7" customWidth="1"/>
    <col min="14082" max="14082" width="5" style="7" customWidth="1"/>
    <col min="14083" max="14083" width="15.6640625" style="7" customWidth="1"/>
    <col min="14084" max="14084" width="45.88671875" style="7" customWidth="1"/>
    <col min="14085" max="14085" width="5.109375" style="7" customWidth="1"/>
    <col min="14086" max="14086" width="8.109375" style="7" customWidth="1"/>
    <col min="14087" max="14088" width="10.5546875" style="7" customWidth="1"/>
    <col min="14089" max="14089" width="7.6640625" style="7" customWidth="1"/>
    <col min="14090" max="14092" width="9.77734375" style="7" customWidth="1"/>
    <col min="14093" max="14093" width="8.21875" style="7"/>
    <col min="14094" max="14094" width="10.88671875" style="7" customWidth="1"/>
    <col min="14095" max="14336" width="8.21875" style="7"/>
    <col min="14337" max="14337" width="16.5546875" style="7" customWidth="1"/>
    <col min="14338" max="14338" width="5" style="7" customWidth="1"/>
    <col min="14339" max="14339" width="15.6640625" style="7" customWidth="1"/>
    <col min="14340" max="14340" width="45.88671875" style="7" customWidth="1"/>
    <col min="14341" max="14341" width="5.109375" style="7" customWidth="1"/>
    <col min="14342" max="14342" width="8.109375" style="7" customWidth="1"/>
    <col min="14343" max="14344" width="10.5546875" style="7" customWidth="1"/>
    <col min="14345" max="14345" width="7.6640625" style="7" customWidth="1"/>
    <col min="14346" max="14348" width="9.77734375" style="7" customWidth="1"/>
    <col min="14349" max="14349" width="8.21875" style="7"/>
    <col min="14350" max="14350" width="10.88671875" style="7" customWidth="1"/>
    <col min="14351" max="14592" width="8.21875" style="7"/>
    <col min="14593" max="14593" width="16.5546875" style="7" customWidth="1"/>
    <col min="14594" max="14594" width="5" style="7" customWidth="1"/>
    <col min="14595" max="14595" width="15.6640625" style="7" customWidth="1"/>
    <col min="14596" max="14596" width="45.88671875" style="7" customWidth="1"/>
    <col min="14597" max="14597" width="5.109375" style="7" customWidth="1"/>
    <col min="14598" max="14598" width="8.109375" style="7" customWidth="1"/>
    <col min="14599" max="14600" width="10.5546875" style="7" customWidth="1"/>
    <col min="14601" max="14601" width="7.6640625" style="7" customWidth="1"/>
    <col min="14602" max="14604" width="9.77734375" style="7" customWidth="1"/>
    <col min="14605" max="14605" width="8.21875" style="7"/>
    <col min="14606" max="14606" width="10.88671875" style="7" customWidth="1"/>
    <col min="14607" max="14848" width="8.21875" style="7"/>
    <col min="14849" max="14849" width="16.5546875" style="7" customWidth="1"/>
    <col min="14850" max="14850" width="5" style="7" customWidth="1"/>
    <col min="14851" max="14851" width="15.6640625" style="7" customWidth="1"/>
    <col min="14852" max="14852" width="45.88671875" style="7" customWidth="1"/>
    <col min="14853" max="14853" width="5.109375" style="7" customWidth="1"/>
    <col min="14854" max="14854" width="8.109375" style="7" customWidth="1"/>
    <col min="14855" max="14856" width="10.5546875" style="7" customWidth="1"/>
    <col min="14857" max="14857" width="7.6640625" style="7" customWidth="1"/>
    <col min="14858" max="14860" width="9.77734375" style="7" customWidth="1"/>
    <col min="14861" max="14861" width="8.21875" style="7"/>
    <col min="14862" max="14862" width="10.88671875" style="7" customWidth="1"/>
    <col min="14863" max="15104" width="8.21875" style="7"/>
    <col min="15105" max="15105" width="16.5546875" style="7" customWidth="1"/>
    <col min="15106" max="15106" width="5" style="7" customWidth="1"/>
    <col min="15107" max="15107" width="15.6640625" style="7" customWidth="1"/>
    <col min="15108" max="15108" width="45.88671875" style="7" customWidth="1"/>
    <col min="15109" max="15109" width="5.109375" style="7" customWidth="1"/>
    <col min="15110" max="15110" width="8.109375" style="7" customWidth="1"/>
    <col min="15111" max="15112" width="10.5546875" style="7" customWidth="1"/>
    <col min="15113" max="15113" width="7.6640625" style="7" customWidth="1"/>
    <col min="15114" max="15116" width="9.77734375" style="7" customWidth="1"/>
    <col min="15117" max="15117" width="8.21875" style="7"/>
    <col min="15118" max="15118" width="10.88671875" style="7" customWidth="1"/>
    <col min="15119" max="15360" width="8.21875" style="7"/>
    <col min="15361" max="15361" width="16.5546875" style="7" customWidth="1"/>
    <col min="15362" max="15362" width="5" style="7" customWidth="1"/>
    <col min="15363" max="15363" width="15.6640625" style="7" customWidth="1"/>
    <col min="15364" max="15364" width="45.88671875" style="7" customWidth="1"/>
    <col min="15365" max="15365" width="5.109375" style="7" customWidth="1"/>
    <col min="15366" max="15366" width="8.109375" style="7" customWidth="1"/>
    <col min="15367" max="15368" width="10.5546875" style="7" customWidth="1"/>
    <col min="15369" max="15369" width="7.6640625" style="7" customWidth="1"/>
    <col min="15370" max="15372" width="9.77734375" style="7" customWidth="1"/>
    <col min="15373" max="15373" width="8.21875" style="7"/>
    <col min="15374" max="15374" width="10.88671875" style="7" customWidth="1"/>
    <col min="15375" max="15616" width="8.21875" style="7"/>
    <col min="15617" max="15617" width="16.5546875" style="7" customWidth="1"/>
    <col min="15618" max="15618" width="5" style="7" customWidth="1"/>
    <col min="15619" max="15619" width="15.6640625" style="7" customWidth="1"/>
    <col min="15620" max="15620" width="45.88671875" style="7" customWidth="1"/>
    <col min="15621" max="15621" width="5.109375" style="7" customWidth="1"/>
    <col min="15622" max="15622" width="8.109375" style="7" customWidth="1"/>
    <col min="15623" max="15624" width="10.5546875" style="7" customWidth="1"/>
    <col min="15625" max="15625" width="7.6640625" style="7" customWidth="1"/>
    <col min="15626" max="15628" width="9.77734375" style="7" customWidth="1"/>
    <col min="15629" max="15629" width="8.21875" style="7"/>
    <col min="15630" max="15630" width="10.88671875" style="7" customWidth="1"/>
    <col min="15631" max="15872" width="8.21875" style="7"/>
    <col min="15873" max="15873" width="16.5546875" style="7" customWidth="1"/>
    <col min="15874" max="15874" width="5" style="7" customWidth="1"/>
    <col min="15875" max="15875" width="15.6640625" style="7" customWidth="1"/>
    <col min="15876" max="15876" width="45.88671875" style="7" customWidth="1"/>
    <col min="15877" max="15877" width="5.109375" style="7" customWidth="1"/>
    <col min="15878" max="15878" width="8.109375" style="7" customWidth="1"/>
    <col min="15879" max="15880" width="10.5546875" style="7" customWidth="1"/>
    <col min="15881" max="15881" width="7.6640625" style="7" customWidth="1"/>
    <col min="15882" max="15884" width="9.77734375" style="7" customWidth="1"/>
    <col min="15885" max="15885" width="8.21875" style="7"/>
    <col min="15886" max="15886" width="10.88671875" style="7" customWidth="1"/>
    <col min="15887" max="16128" width="8.21875" style="7"/>
    <col min="16129" max="16129" width="16.5546875" style="7" customWidth="1"/>
    <col min="16130" max="16130" width="5" style="7" customWidth="1"/>
    <col min="16131" max="16131" width="15.6640625" style="7" customWidth="1"/>
    <col min="16132" max="16132" width="45.88671875" style="7" customWidth="1"/>
    <col min="16133" max="16133" width="5.109375" style="7" customWidth="1"/>
    <col min="16134" max="16134" width="8.109375" style="7" customWidth="1"/>
    <col min="16135" max="16136" width="10.5546875" style="7" customWidth="1"/>
    <col min="16137" max="16137" width="7.6640625" style="7" customWidth="1"/>
    <col min="16138" max="16140" width="9.77734375" style="7" customWidth="1"/>
    <col min="16141" max="16141" width="8.21875" style="7"/>
    <col min="16142" max="16142" width="10.88671875" style="7" customWidth="1"/>
    <col min="16143" max="16384" width="8.21875" style="7"/>
  </cols>
  <sheetData>
    <row r="1" spans="1:13" ht="21.75" customHeight="1" x14ac:dyDescent="0.25">
      <c r="A1" s="149" t="s">
        <v>312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50"/>
    </row>
    <row r="2" spans="1:13" ht="16.5" customHeight="1" x14ac:dyDescent="0.25">
      <c r="A2" s="136" t="s">
        <v>29</v>
      </c>
      <c r="B2" s="135" t="s">
        <v>1</v>
      </c>
      <c r="C2" s="136" t="s">
        <v>30</v>
      </c>
      <c r="D2" s="136" t="s">
        <v>31</v>
      </c>
      <c r="E2" s="136" t="s">
        <v>32</v>
      </c>
      <c r="F2" s="136" t="s">
        <v>33</v>
      </c>
      <c r="G2" s="139" t="s">
        <v>34</v>
      </c>
      <c r="H2" s="139"/>
      <c r="I2" s="139"/>
      <c r="J2" s="139" t="s">
        <v>35</v>
      </c>
      <c r="K2" s="139"/>
      <c r="L2" s="139"/>
      <c r="M2" s="16" t="s">
        <v>37</v>
      </c>
    </row>
    <row r="3" spans="1:13" ht="18" customHeight="1" x14ac:dyDescent="0.25">
      <c r="A3" s="136"/>
      <c r="B3" s="135"/>
      <c r="C3" s="136"/>
      <c r="D3" s="136"/>
      <c r="E3" s="136"/>
      <c r="F3" s="136"/>
      <c r="G3" s="15" t="s">
        <v>38</v>
      </c>
      <c r="H3" s="15" t="s">
        <v>39</v>
      </c>
      <c r="I3" s="15" t="s">
        <v>10</v>
      </c>
      <c r="J3" s="15" t="s">
        <v>38</v>
      </c>
      <c r="K3" s="15" t="s">
        <v>39</v>
      </c>
      <c r="L3" s="15" t="s">
        <v>10</v>
      </c>
      <c r="M3" s="16">
        <f>1.1*1</f>
        <v>1.1000000000000001</v>
      </c>
    </row>
    <row r="4" spans="1:13" ht="14.25" customHeight="1" x14ac:dyDescent="0.25">
      <c r="A4" s="146" t="s">
        <v>313</v>
      </c>
      <c r="B4" s="17">
        <v>1</v>
      </c>
      <c r="C4" s="18" t="s">
        <v>314</v>
      </c>
      <c r="D4" s="19"/>
      <c r="E4" s="13"/>
      <c r="F4" s="13"/>
      <c r="G4" s="20"/>
      <c r="H4" s="20"/>
      <c r="I4" s="20"/>
      <c r="J4" s="20"/>
      <c r="K4" s="20"/>
      <c r="L4" s="20"/>
    </row>
    <row r="5" spans="1:13" ht="12" outlineLevel="1" x14ac:dyDescent="0.25">
      <c r="A5" s="147"/>
      <c r="B5" s="14">
        <v>1.1000000000000001</v>
      </c>
      <c r="C5" s="19" t="s">
        <v>315</v>
      </c>
      <c r="D5" s="21" t="s">
        <v>316</v>
      </c>
      <c r="E5" s="13" t="s">
        <v>55</v>
      </c>
      <c r="F5" s="13">
        <v>1</v>
      </c>
      <c r="G5" s="28">
        <f>262000*0.7</f>
        <v>183400</v>
      </c>
      <c r="H5" s="20"/>
      <c r="I5" s="20">
        <f>2000*$M$3</f>
        <v>2200</v>
      </c>
      <c r="J5" s="20">
        <f>F5*G5</f>
        <v>183400</v>
      </c>
      <c r="K5" s="20"/>
      <c r="L5" s="20">
        <f>F5*I5</f>
        <v>2200</v>
      </c>
      <c r="M5" s="12"/>
    </row>
    <row r="6" spans="1:13" ht="14.25" customHeight="1" x14ac:dyDescent="0.25">
      <c r="A6" s="147"/>
      <c r="B6" s="17">
        <v>2</v>
      </c>
      <c r="C6" s="18" t="s">
        <v>51</v>
      </c>
      <c r="D6" s="19"/>
      <c r="E6" s="13"/>
      <c r="F6" s="13"/>
      <c r="G6" s="20"/>
      <c r="H6" s="20"/>
      <c r="I6" s="20"/>
      <c r="J6" s="20"/>
      <c r="K6" s="20"/>
      <c r="L6" s="20"/>
      <c r="M6" s="12"/>
    </row>
    <row r="7" spans="1:13" ht="14.25" customHeight="1" outlineLevel="1" x14ac:dyDescent="0.25">
      <c r="A7" s="147"/>
      <c r="B7" s="14">
        <v>2.1</v>
      </c>
      <c r="C7" s="19" t="s">
        <v>68</v>
      </c>
      <c r="D7" s="30"/>
      <c r="E7" s="13"/>
      <c r="F7" s="13"/>
      <c r="G7" s="20"/>
      <c r="H7" s="20"/>
      <c r="I7" s="20"/>
      <c r="J7" s="20"/>
      <c r="K7" s="20"/>
      <c r="L7" s="20"/>
      <c r="M7" s="12"/>
    </row>
    <row r="8" spans="1:13" ht="14.25" customHeight="1" outlineLevel="2" x14ac:dyDescent="0.25">
      <c r="A8" s="147"/>
      <c r="B8" s="14"/>
      <c r="C8" s="19" t="s">
        <v>69</v>
      </c>
      <c r="D8" s="21" t="s">
        <v>70</v>
      </c>
      <c r="E8" s="13" t="s">
        <v>55</v>
      </c>
      <c r="F8" s="13"/>
      <c r="G8" s="20">
        <v>169000</v>
      </c>
      <c r="H8" s="20"/>
      <c r="I8" s="20">
        <f t="shared" ref="I8:I14" si="0">3000*$M$3</f>
        <v>3300</v>
      </c>
      <c r="J8" s="20">
        <f t="shared" ref="J8:J65" si="1">F8*G8</f>
        <v>0</v>
      </c>
      <c r="K8" s="20"/>
      <c r="L8" s="20">
        <f t="shared" ref="L8:L71" si="2">F8*I8</f>
        <v>0</v>
      </c>
      <c r="M8" s="12"/>
    </row>
    <row r="9" spans="1:13" ht="14.25" customHeight="1" outlineLevel="2" x14ac:dyDescent="0.25">
      <c r="A9" s="147"/>
      <c r="B9" s="14"/>
      <c r="C9" s="19"/>
      <c r="D9" s="21" t="s">
        <v>73</v>
      </c>
      <c r="E9" s="13" t="s">
        <v>55</v>
      </c>
      <c r="F9" s="13"/>
      <c r="G9" s="20">
        <v>185000</v>
      </c>
      <c r="H9" s="20"/>
      <c r="I9" s="20">
        <f t="shared" si="0"/>
        <v>3300</v>
      </c>
      <c r="J9" s="20">
        <f t="shared" si="1"/>
        <v>0</v>
      </c>
      <c r="K9" s="20"/>
      <c r="L9" s="20">
        <f t="shared" si="2"/>
        <v>0</v>
      </c>
      <c r="M9" s="12"/>
    </row>
    <row r="10" spans="1:13" ht="14.25" customHeight="1" outlineLevel="2" x14ac:dyDescent="0.25">
      <c r="A10" s="147"/>
      <c r="B10" s="14"/>
      <c r="C10" s="19"/>
      <c r="D10" s="21" t="s">
        <v>74</v>
      </c>
      <c r="E10" s="13" t="s">
        <v>55</v>
      </c>
      <c r="F10" s="13"/>
      <c r="G10" s="20">
        <v>210000</v>
      </c>
      <c r="H10" s="20"/>
      <c r="I10" s="20">
        <f t="shared" si="0"/>
        <v>3300</v>
      </c>
      <c r="J10" s="20">
        <f t="shared" si="1"/>
        <v>0</v>
      </c>
      <c r="K10" s="20"/>
      <c r="L10" s="20">
        <f t="shared" si="2"/>
        <v>0</v>
      </c>
      <c r="M10" s="12"/>
    </row>
    <row r="11" spans="1:13" ht="14.25" customHeight="1" outlineLevel="2" x14ac:dyDescent="0.25">
      <c r="A11" s="147"/>
      <c r="B11" s="14"/>
      <c r="C11" s="19"/>
      <c r="D11" s="21" t="s">
        <v>75</v>
      </c>
      <c r="E11" s="13" t="s">
        <v>55</v>
      </c>
      <c r="F11" s="13"/>
      <c r="G11" s="20">
        <v>255000</v>
      </c>
      <c r="H11" s="20"/>
      <c r="I11" s="20">
        <f t="shared" si="0"/>
        <v>3300</v>
      </c>
      <c r="J11" s="20">
        <f t="shared" si="1"/>
        <v>0</v>
      </c>
      <c r="K11" s="20"/>
      <c r="L11" s="20">
        <f t="shared" si="2"/>
        <v>0</v>
      </c>
      <c r="M11" s="12"/>
    </row>
    <row r="12" spans="1:13" ht="14.25" customHeight="1" outlineLevel="2" x14ac:dyDescent="0.25">
      <c r="A12" s="147"/>
      <c r="B12" s="14"/>
      <c r="C12" s="19"/>
      <c r="D12" s="21" t="s">
        <v>76</v>
      </c>
      <c r="E12" s="13" t="s">
        <v>55</v>
      </c>
      <c r="F12" s="13"/>
      <c r="G12" s="20">
        <v>275000</v>
      </c>
      <c r="H12" s="20"/>
      <c r="I12" s="20">
        <f t="shared" si="0"/>
        <v>3300</v>
      </c>
      <c r="J12" s="20">
        <f t="shared" si="1"/>
        <v>0</v>
      </c>
      <c r="K12" s="20"/>
      <c r="L12" s="20">
        <f t="shared" si="2"/>
        <v>0</v>
      </c>
      <c r="M12" s="12"/>
    </row>
    <row r="13" spans="1:13" ht="14.25" customHeight="1" outlineLevel="2" x14ac:dyDescent="0.25">
      <c r="A13" s="147"/>
      <c r="B13" s="14"/>
      <c r="C13" s="19"/>
      <c r="D13" s="21" t="s">
        <v>77</v>
      </c>
      <c r="E13" s="13" t="s">
        <v>55</v>
      </c>
      <c r="F13" s="13"/>
      <c r="G13" s="20">
        <v>305000</v>
      </c>
      <c r="H13" s="20"/>
      <c r="I13" s="20">
        <f t="shared" si="0"/>
        <v>3300</v>
      </c>
      <c r="J13" s="20">
        <f t="shared" si="1"/>
        <v>0</v>
      </c>
      <c r="K13" s="20"/>
      <c r="L13" s="20">
        <f t="shared" si="2"/>
        <v>0</v>
      </c>
      <c r="M13" s="12"/>
    </row>
    <row r="14" spans="1:13" ht="14.25" customHeight="1" outlineLevel="2" x14ac:dyDescent="0.25">
      <c r="A14" s="147"/>
      <c r="B14" s="14"/>
      <c r="C14" s="19"/>
      <c r="D14" s="21" t="s">
        <v>78</v>
      </c>
      <c r="E14" s="13" t="s">
        <v>55</v>
      </c>
      <c r="F14" s="13"/>
      <c r="G14" s="20">
        <v>325000</v>
      </c>
      <c r="H14" s="20"/>
      <c r="I14" s="20">
        <f t="shared" si="0"/>
        <v>3300</v>
      </c>
      <c r="J14" s="20">
        <f t="shared" si="1"/>
        <v>0</v>
      </c>
      <c r="K14" s="20"/>
      <c r="L14" s="20">
        <f t="shared" si="2"/>
        <v>0</v>
      </c>
      <c r="M14" s="12"/>
    </row>
    <row r="15" spans="1:13" ht="14.25" customHeight="1" outlineLevel="1" x14ac:dyDescent="0.25">
      <c r="A15" s="147"/>
      <c r="B15" s="14">
        <v>2.2000000000000002</v>
      </c>
      <c r="C15" s="19" t="s">
        <v>79</v>
      </c>
      <c r="D15" s="22"/>
      <c r="E15" s="13"/>
      <c r="F15" s="13"/>
      <c r="G15" s="20"/>
      <c r="H15" s="20"/>
      <c r="I15" s="20"/>
      <c r="J15" s="20"/>
      <c r="K15" s="20"/>
      <c r="L15" s="20"/>
      <c r="M15" s="12"/>
    </row>
    <row r="16" spans="1:13" ht="14.25" customHeight="1" outlineLevel="2" x14ac:dyDescent="0.25">
      <c r="A16" s="147"/>
      <c r="B16" s="14"/>
      <c r="C16" s="19"/>
      <c r="D16" s="22" t="s">
        <v>80</v>
      </c>
      <c r="E16" s="13" t="s">
        <v>81</v>
      </c>
      <c r="F16" s="13"/>
      <c r="G16" s="20">
        <v>52000</v>
      </c>
      <c r="H16" s="20"/>
      <c r="I16" s="20">
        <f t="shared" ref="I16:I25" si="3">1000*$M$3</f>
        <v>1100</v>
      </c>
      <c r="J16" s="20">
        <f t="shared" si="1"/>
        <v>0</v>
      </c>
      <c r="K16" s="20"/>
      <c r="L16" s="20">
        <f t="shared" si="2"/>
        <v>0</v>
      </c>
      <c r="M16" s="12"/>
    </row>
    <row r="17" spans="1:13" ht="14.25" customHeight="1" outlineLevel="2" x14ac:dyDescent="0.25">
      <c r="A17" s="147"/>
      <c r="B17" s="14"/>
      <c r="C17" s="19"/>
      <c r="D17" s="22" t="s">
        <v>82</v>
      </c>
      <c r="E17" s="13" t="s">
        <v>81</v>
      </c>
      <c r="F17" s="13"/>
      <c r="G17" s="20">
        <v>52000</v>
      </c>
      <c r="H17" s="20"/>
      <c r="I17" s="20">
        <f t="shared" si="3"/>
        <v>1100</v>
      </c>
      <c r="J17" s="20">
        <f t="shared" si="1"/>
        <v>0</v>
      </c>
      <c r="K17" s="20"/>
      <c r="L17" s="20">
        <f t="shared" si="2"/>
        <v>0</v>
      </c>
      <c r="M17" s="12"/>
    </row>
    <row r="18" spans="1:13" ht="14.25" customHeight="1" outlineLevel="2" x14ac:dyDescent="0.25">
      <c r="A18" s="147"/>
      <c r="B18" s="14"/>
      <c r="C18" s="19"/>
      <c r="D18" s="22" t="s">
        <v>83</v>
      </c>
      <c r="E18" s="13" t="s">
        <v>81</v>
      </c>
      <c r="F18" s="13"/>
      <c r="G18" s="20">
        <v>30340</v>
      </c>
      <c r="H18" s="20"/>
      <c r="I18" s="20">
        <f t="shared" si="3"/>
        <v>1100</v>
      </c>
      <c r="J18" s="20">
        <f t="shared" si="1"/>
        <v>0</v>
      </c>
      <c r="K18" s="20"/>
      <c r="L18" s="20">
        <f t="shared" si="2"/>
        <v>0</v>
      </c>
      <c r="M18" s="12"/>
    </row>
    <row r="19" spans="1:13" ht="14.25" customHeight="1" outlineLevel="2" x14ac:dyDescent="0.25">
      <c r="A19" s="147"/>
      <c r="B19" s="14"/>
      <c r="C19" s="19"/>
      <c r="D19" s="22" t="s">
        <v>84</v>
      </c>
      <c r="E19" s="13" t="s">
        <v>81</v>
      </c>
      <c r="F19" s="13"/>
      <c r="G19" s="20">
        <v>25000</v>
      </c>
      <c r="H19" s="20"/>
      <c r="I19" s="20">
        <f t="shared" si="3"/>
        <v>1100</v>
      </c>
      <c r="J19" s="20">
        <f t="shared" si="1"/>
        <v>0</v>
      </c>
      <c r="K19" s="20"/>
      <c r="L19" s="20">
        <f t="shared" si="2"/>
        <v>0</v>
      </c>
      <c r="M19" s="12"/>
    </row>
    <row r="20" spans="1:13" ht="14.25" customHeight="1" outlineLevel="2" x14ac:dyDescent="0.25">
      <c r="A20" s="147"/>
      <c r="B20" s="14"/>
      <c r="C20" s="19"/>
      <c r="D20" s="22" t="s">
        <v>85</v>
      </c>
      <c r="E20" s="13" t="s">
        <v>81</v>
      </c>
      <c r="F20" s="13"/>
      <c r="G20" s="20">
        <v>50800</v>
      </c>
      <c r="H20" s="20"/>
      <c r="I20" s="20">
        <f t="shared" si="3"/>
        <v>1100</v>
      </c>
      <c r="J20" s="20">
        <f t="shared" si="1"/>
        <v>0</v>
      </c>
      <c r="K20" s="20"/>
      <c r="L20" s="20">
        <f t="shared" si="2"/>
        <v>0</v>
      </c>
      <c r="M20" s="12"/>
    </row>
    <row r="21" spans="1:13" ht="14.25" customHeight="1" outlineLevel="2" x14ac:dyDescent="0.25">
      <c r="A21" s="147"/>
      <c r="B21" s="14"/>
      <c r="C21" s="19"/>
      <c r="D21" s="22" t="s">
        <v>86</v>
      </c>
      <c r="E21" s="13" t="s">
        <v>81</v>
      </c>
      <c r="F21" s="13"/>
      <c r="G21" s="20">
        <v>52000</v>
      </c>
      <c r="H21" s="20"/>
      <c r="I21" s="20">
        <f t="shared" si="3"/>
        <v>1100</v>
      </c>
      <c r="J21" s="20">
        <f t="shared" si="1"/>
        <v>0</v>
      </c>
      <c r="K21" s="20"/>
      <c r="L21" s="20">
        <f t="shared" si="2"/>
        <v>0</v>
      </c>
      <c r="M21" s="12"/>
    </row>
    <row r="22" spans="1:13" ht="14.25" customHeight="1" outlineLevel="2" x14ac:dyDescent="0.25">
      <c r="A22" s="147"/>
      <c r="B22" s="14"/>
      <c r="C22" s="19"/>
      <c r="D22" s="22" t="s">
        <v>87</v>
      </c>
      <c r="E22" s="13" t="s">
        <v>81</v>
      </c>
      <c r="F22" s="13"/>
      <c r="G22" s="20">
        <v>40000</v>
      </c>
      <c r="H22" s="20"/>
      <c r="I22" s="20">
        <f t="shared" si="3"/>
        <v>1100</v>
      </c>
      <c r="J22" s="20">
        <f t="shared" si="1"/>
        <v>0</v>
      </c>
      <c r="K22" s="20"/>
      <c r="L22" s="20">
        <f t="shared" si="2"/>
        <v>0</v>
      </c>
      <c r="M22" s="12"/>
    </row>
    <row r="23" spans="1:13" ht="14.25" customHeight="1" outlineLevel="2" x14ac:dyDescent="0.25">
      <c r="A23" s="147"/>
      <c r="B23" s="14"/>
      <c r="C23" s="19"/>
      <c r="D23" s="22" t="s">
        <v>88</v>
      </c>
      <c r="E23" s="13" t="s">
        <v>81</v>
      </c>
      <c r="F23" s="13"/>
      <c r="G23" s="20">
        <v>20000</v>
      </c>
      <c r="H23" s="20"/>
      <c r="I23" s="20">
        <f t="shared" si="3"/>
        <v>1100</v>
      </c>
      <c r="J23" s="20">
        <f t="shared" si="1"/>
        <v>0</v>
      </c>
      <c r="K23" s="20"/>
      <c r="L23" s="20">
        <f t="shared" si="2"/>
        <v>0</v>
      </c>
      <c r="M23" s="12"/>
    </row>
    <row r="24" spans="1:13" ht="14.25" customHeight="1" outlineLevel="2" x14ac:dyDescent="0.25">
      <c r="A24" s="147"/>
      <c r="B24" s="14"/>
      <c r="C24" s="19"/>
      <c r="D24" s="22" t="s">
        <v>89</v>
      </c>
      <c r="E24" s="13" t="s">
        <v>81</v>
      </c>
      <c r="F24" s="13"/>
      <c r="G24" s="20">
        <v>25000</v>
      </c>
      <c r="H24" s="20"/>
      <c r="I24" s="20">
        <f t="shared" si="3"/>
        <v>1100</v>
      </c>
      <c r="J24" s="20">
        <f t="shared" si="1"/>
        <v>0</v>
      </c>
      <c r="K24" s="20"/>
      <c r="L24" s="20">
        <f t="shared" si="2"/>
        <v>0</v>
      </c>
      <c r="M24" s="12"/>
    </row>
    <row r="25" spans="1:13" ht="14.25" customHeight="1" outlineLevel="2" x14ac:dyDescent="0.25">
      <c r="A25" s="147"/>
      <c r="B25" s="14"/>
      <c r="C25" s="19"/>
      <c r="D25" s="22" t="s">
        <v>90</v>
      </c>
      <c r="E25" s="13" t="s">
        <v>81</v>
      </c>
      <c r="F25" s="13"/>
      <c r="G25" s="20">
        <v>35000</v>
      </c>
      <c r="H25" s="20"/>
      <c r="I25" s="20">
        <f t="shared" si="3"/>
        <v>1100</v>
      </c>
      <c r="J25" s="20">
        <f t="shared" si="1"/>
        <v>0</v>
      </c>
      <c r="K25" s="20"/>
      <c r="L25" s="20">
        <f t="shared" si="2"/>
        <v>0</v>
      </c>
      <c r="M25" s="12"/>
    </row>
    <row r="26" spans="1:13" ht="14.25" customHeight="1" outlineLevel="1" x14ac:dyDescent="0.25">
      <c r="A26" s="147"/>
      <c r="B26" s="14">
        <v>2.2999999999999998</v>
      </c>
      <c r="C26" s="19" t="s">
        <v>91</v>
      </c>
      <c r="D26" s="22"/>
      <c r="E26" s="13"/>
      <c r="F26" s="13"/>
      <c r="G26" s="20"/>
      <c r="H26" s="20"/>
      <c r="I26" s="20"/>
      <c r="J26" s="20"/>
      <c r="K26" s="20"/>
      <c r="L26" s="20"/>
      <c r="M26" s="12"/>
    </row>
    <row r="27" spans="1:13" ht="14.25" customHeight="1" outlineLevel="2" x14ac:dyDescent="0.25">
      <c r="A27" s="147"/>
      <c r="B27" s="14"/>
      <c r="C27" s="19" t="s">
        <v>92</v>
      </c>
      <c r="D27" s="22" t="s">
        <v>93</v>
      </c>
      <c r="E27" s="13" t="s">
        <v>55</v>
      </c>
      <c r="F27" s="13"/>
      <c r="G27" s="20">
        <v>180000</v>
      </c>
      <c r="H27" s="20"/>
      <c r="I27" s="20">
        <f>2000*$M$3</f>
        <v>2200</v>
      </c>
      <c r="J27" s="20">
        <f t="shared" si="1"/>
        <v>0</v>
      </c>
      <c r="K27" s="20"/>
      <c r="L27" s="20">
        <f t="shared" si="2"/>
        <v>0</v>
      </c>
      <c r="M27" s="12"/>
    </row>
    <row r="28" spans="1:13" ht="14.25" customHeight="1" outlineLevel="2" x14ac:dyDescent="0.25">
      <c r="A28" s="147"/>
      <c r="B28" s="14"/>
      <c r="C28" s="19"/>
      <c r="D28" s="22" t="s">
        <v>94</v>
      </c>
      <c r="E28" s="13" t="s">
        <v>55</v>
      </c>
      <c r="F28" s="13"/>
      <c r="G28" s="20">
        <v>208000</v>
      </c>
      <c r="H28" s="20"/>
      <c r="I28" s="20">
        <f>2000*$M$3</f>
        <v>2200</v>
      </c>
      <c r="J28" s="20">
        <f t="shared" si="1"/>
        <v>0</v>
      </c>
      <c r="K28" s="20"/>
      <c r="L28" s="20">
        <f t="shared" si="2"/>
        <v>0</v>
      </c>
      <c r="M28" s="12"/>
    </row>
    <row r="29" spans="1:13" ht="14.25" customHeight="1" outlineLevel="2" x14ac:dyDescent="0.25">
      <c r="A29" s="147"/>
      <c r="B29" s="14"/>
      <c r="C29" s="19"/>
      <c r="D29" s="22" t="s">
        <v>95</v>
      </c>
      <c r="E29" s="13" t="s">
        <v>55</v>
      </c>
      <c r="F29" s="13"/>
      <c r="G29" s="20">
        <v>213000</v>
      </c>
      <c r="H29" s="20"/>
      <c r="I29" s="20">
        <f>2000*$M$3</f>
        <v>2200</v>
      </c>
      <c r="J29" s="20">
        <f t="shared" si="1"/>
        <v>0</v>
      </c>
      <c r="K29" s="20"/>
      <c r="L29" s="20">
        <f t="shared" si="2"/>
        <v>0</v>
      </c>
      <c r="M29" s="12"/>
    </row>
    <row r="30" spans="1:13" ht="14.25" customHeight="1" outlineLevel="2" x14ac:dyDescent="0.25">
      <c r="A30" s="147"/>
      <c r="B30" s="14"/>
      <c r="C30" s="19"/>
      <c r="D30" s="22" t="s">
        <v>96</v>
      </c>
      <c r="E30" s="13" t="s">
        <v>55</v>
      </c>
      <c r="F30" s="13"/>
      <c r="G30" s="20">
        <v>220000</v>
      </c>
      <c r="H30" s="20"/>
      <c r="I30" s="20">
        <f>2000*$M$3</f>
        <v>2200</v>
      </c>
      <c r="J30" s="20">
        <f t="shared" si="1"/>
        <v>0</v>
      </c>
      <c r="K30" s="20"/>
      <c r="L30" s="20">
        <f t="shared" si="2"/>
        <v>0</v>
      </c>
      <c r="M30" s="12"/>
    </row>
    <row r="31" spans="1:13" ht="14.25" customHeight="1" outlineLevel="2" x14ac:dyDescent="0.25">
      <c r="A31" s="147"/>
      <c r="B31" s="14"/>
      <c r="C31" s="29" t="s">
        <v>97</v>
      </c>
      <c r="D31" s="39" t="s">
        <v>98</v>
      </c>
      <c r="E31" s="26" t="s">
        <v>55</v>
      </c>
      <c r="F31" s="26"/>
      <c r="G31" s="28">
        <v>30000</v>
      </c>
      <c r="H31" s="28"/>
      <c r="I31" s="20">
        <f>1000*$M$3</f>
        <v>1100</v>
      </c>
      <c r="J31" s="20">
        <f t="shared" si="1"/>
        <v>0</v>
      </c>
      <c r="K31" s="20"/>
      <c r="L31" s="20">
        <f t="shared" si="2"/>
        <v>0</v>
      </c>
      <c r="M31" s="12"/>
    </row>
    <row r="32" spans="1:13" ht="14.25" customHeight="1" outlineLevel="1" x14ac:dyDescent="0.25">
      <c r="A32" s="147"/>
      <c r="B32" s="14">
        <v>2.4</v>
      </c>
      <c r="C32" s="30" t="s">
        <v>102</v>
      </c>
      <c r="D32" s="30"/>
      <c r="E32" s="30"/>
      <c r="F32" s="30"/>
      <c r="G32" s="20"/>
      <c r="H32" s="20"/>
      <c r="I32" s="20"/>
      <c r="J32" s="20"/>
      <c r="K32" s="20"/>
      <c r="L32" s="20"/>
      <c r="M32" s="12"/>
    </row>
    <row r="33" spans="1:13" ht="14.25" customHeight="1" outlineLevel="2" x14ac:dyDescent="0.25">
      <c r="A33" s="147"/>
      <c r="B33" s="14"/>
      <c r="C33" s="40" t="s">
        <v>103</v>
      </c>
      <c r="D33" s="40" t="s">
        <v>104</v>
      </c>
      <c r="E33" s="26" t="s">
        <v>55</v>
      </c>
      <c r="F33" s="40"/>
      <c r="G33" s="28">
        <v>20000</v>
      </c>
      <c r="H33" s="28"/>
      <c r="I33" s="28">
        <f>2000*$M$3</f>
        <v>2200</v>
      </c>
      <c r="J33" s="20">
        <f t="shared" si="1"/>
        <v>0</v>
      </c>
      <c r="K33" s="20"/>
      <c r="L33" s="20">
        <f t="shared" si="2"/>
        <v>0</v>
      </c>
      <c r="M33" s="12"/>
    </row>
    <row r="34" spans="1:13" ht="14.25" customHeight="1" outlineLevel="2" x14ac:dyDescent="0.25">
      <c r="A34" s="147"/>
      <c r="B34" s="14"/>
      <c r="C34" s="19" t="s">
        <v>105</v>
      </c>
      <c r="D34" s="22" t="s">
        <v>106</v>
      </c>
      <c r="E34" s="13" t="s">
        <v>81</v>
      </c>
      <c r="F34" s="13"/>
      <c r="G34" s="20">
        <v>20000</v>
      </c>
      <c r="H34" s="20"/>
      <c r="I34" s="28">
        <f>1000*$M$3</f>
        <v>1100</v>
      </c>
      <c r="J34" s="20">
        <f t="shared" si="1"/>
        <v>0</v>
      </c>
      <c r="K34" s="20"/>
      <c r="L34" s="20">
        <f t="shared" si="2"/>
        <v>0</v>
      </c>
      <c r="M34" s="12"/>
    </row>
    <row r="35" spans="1:13" ht="14.25" customHeight="1" outlineLevel="1" x14ac:dyDescent="0.25">
      <c r="A35" s="147"/>
      <c r="B35" s="14">
        <v>2.5</v>
      </c>
      <c r="C35" s="19" t="s">
        <v>107</v>
      </c>
      <c r="D35" s="22"/>
      <c r="E35" s="13"/>
      <c r="F35" s="13"/>
      <c r="G35" s="20"/>
      <c r="H35" s="20"/>
      <c r="I35" s="20"/>
      <c r="J35" s="20"/>
      <c r="K35" s="20"/>
      <c r="L35" s="20"/>
      <c r="M35" s="12"/>
    </row>
    <row r="36" spans="1:13" ht="14.25" customHeight="1" outlineLevel="2" x14ac:dyDescent="0.25">
      <c r="A36" s="147"/>
      <c r="B36" s="14"/>
      <c r="C36" s="19" t="s">
        <v>108</v>
      </c>
      <c r="D36" s="22" t="s">
        <v>109</v>
      </c>
      <c r="E36" s="13" t="s">
        <v>55</v>
      </c>
      <c r="F36" s="13"/>
      <c r="G36" s="20">
        <f>6.5*3.5*3000</f>
        <v>68250</v>
      </c>
      <c r="H36" s="20"/>
      <c r="I36" s="20">
        <f>5000*$M$3</f>
        <v>5500</v>
      </c>
      <c r="J36" s="20">
        <f t="shared" si="1"/>
        <v>0</v>
      </c>
      <c r="K36" s="20"/>
      <c r="L36" s="20">
        <f t="shared" si="2"/>
        <v>0</v>
      </c>
      <c r="M36" s="12"/>
    </row>
    <row r="37" spans="1:13" ht="14.25" customHeight="1" outlineLevel="2" x14ac:dyDescent="0.25">
      <c r="A37" s="147"/>
      <c r="B37" s="14"/>
      <c r="C37" s="19" t="s">
        <v>110</v>
      </c>
      <c r="D37" s="22" t="s">
        <v>111</v>
      </c>
      <c r="E37" s="13" t="s">
        <v>55</v>
      </c>
      <c r="F37" s="13"/>
      <c r="G37" s="20">
        <f>6*3.5*3000</f>
        <v>63000</v>
      </c>
      <c r="H37" s="20"/>
      <c r="I37" s="20">
        <f>5000*$M$3</f>
        <v>5500</v>
      </c>
      <c r="J37" s="20">
        <f t="shared" si="1"/>
        <v>0</v>
      </c>
      <c r="K37" s="20"/>
      <c r="L37" s="20">
        <f t="shared" si="2"/>
        <v>0</v>
      </c>
      <c r="M37" s="12"/>
    </row>
    <row r="38" spans="1:13" ht="14.25" customHeight="1" outlineLevel="2" x14ac:dyDescent="0.25">
      <c r="A38" s="147"/>
      <c r="B38" s="14"/>
      <c r="C38" s="19" t="s">
        <v>112</v>
      </c>
      <c r="D38" s="22" t="s">
        <v>113</v>
      </c>
      <c r="E38" s="13" t="s">
        <v>55</v>
      </c>
      <c r="F38" s="13"/>
      <c r="G38" s="20">
        <f>9.5*3.5*3000</f>
        <v>99750</v>
      </c>
      <c r="H38" s="20"/>
      <c r="I38" s="20">
        <f>10000*$M$3</f>
        <v>11000</v>
      </c>
      <c r="J38" s="20">
        <f t="shared" si="1"/>
        <v>0</v>
      </c>
      <c r="K38" s="20"/>
      <c r="L38" s="20">
        <f t="shared" si="2"/>
        <v>0</v>
      </c>
      <c r="M38" s="12"/>
    </row>
    <row r="39" spans="1:13" ht="14.25" customHeight="1" x14ac:dyDescent="0.25">
      <c r="A39" s="147"/>
      <c r="B39" s="17">
        <v>3</v>
      </c>
      <c r="C39" s="18" t="s">
        <v>114</v>
      </c>
      <c r="D39" s="19"/>
      <c r="E39" s="13"/>
      <c r="F39" s="13"/>
      <c r="G39" s="20"/>
      <c r="H39" s="20"/>
      <c r="I39" s="20"/>
      <c r="J39" s="20"/>
      <c r="K39" s="20"/>
      <c r="L39" s="20"/>
      <c r="M39" s="12"/>
    </row>
    <row r="40" spans="1:13" ht="14.25" customHeight="1" outlineLevel="1" x14ac:dyDescent="0.25">
      <c r="A40" s="147"/>
      <c r="B40" s="14">
        <v>3.1</v>
      </c>
      <c r="C40" s="21" t="s">
        <v>115</v>
      </c>
      <c r="D40" s="21"/>
      <c r="E40" s="14"/>
      <c r="F40" s="13"/>
      <c r="G40" s="20"/>
      <c r="H40" s="20"/>
      <c r="I40" s="20"/>
      <c r="J40" s="20"/>
      <c r="K40" s="20"/>
      <c r="L40" s="20"/>
      <c r="M40" s="12"/>
    </row>
    <row r="41" spans="1:13" ht="15" customHeight="1" outlineLevel="2" x14ac:dyDescent="0.25">
      <c r="A41" s="147"/>
      <c r="B41" s="14"/>
      <c r="C41" s="25" t="s">
        <v>116</v>
      </c>
      <c r="D41" s="25"/>
      <c r="E41" s="14" t="s">
        <v>50</v>
      </c>
      <c r="F41" s="13"/>
      <c r="G41" s="20">
        <v>60900</v>
      </c>
      <c r="H41" s="20"/>
      <c r="I41" s="20">
        <f t="shared" ref="I41:I49" si="4">1000*$M$3</f>
        <v>1100</v>
      </c>
      <c r="J41" s="20">
        <f t="shared" si="1"/>
        <v>0</v>
      </c>
      <c r="K41" s="20"/>
      <c r="L41" s="20">
        <f t="shared" si="2"/>
        <v>0</v>
      </c>
      <c r="M41" s="12"/>
    </row>
    <row r="42" spans="1:13" ht="15" customHeight="1" outlineLevel="2" x14ac:dyDescent="0.25">
      <c r="A42" s="147"/>
      <c r="B42" s="14"/>
      <c r="C42" s="25" t="s">
        <v>117</v>
      </c>
      <c r="D42" s="25" t="s">
        <v>118</v>
      </c>
      <c r="E42" s="14" t="s">
        <v>50</v>
      </c>
      <c r="F42" s="13"/>
      <c r="G42" s="20">
        <v>45500</v>
      </c>
      <c r="H42" s="20"/>
      <c r="I42" s="20">
        <f t="shared" si="4"/>
        <v>1100</v>
      </c>
      <c r="J42" s="20">
        <f t="shared" si="1"/>
        <v>0</v>
      </c>
      <c r="K42" s="20"/>
      <c r="L42" s="20">
        <f t="shared" si="2"/>
        <v>0</v>
      </c>
      <c r="M42" s="12"/>
    </row>
    <row r="43" spans="1:13" ht="15" customHeight="1" outlineLevel="2" x14ac:dyDescent="0.25">
      <c r="A43" s="147"/>
      <c r="B43" s="14"/>
      <c r="C43" s="25" t="s">
        <v>119</v>
      </c>
      <c r="D43" s="25" t="s">
        <v>120</v>
      </c>
      <c r="E43" s="14" t="s">
        <v>50</v>
      </c>
      <c r="F43" s="13"/>
      <c r="G43" s="20">
        <v>66800</v>
      </c>
      <c r="H43" s="20"/>
      <c r="I43" s="20">
        <f t="shared" si="4"/>
        <v>1100</v>
      </c>
      <c r="J43" s="20">
        <f t="shared" si="1"/>
        <v>0</v>
      </c>
      <c r="K43" s="20"/>
      <c r="L43" s="20">
        <f t="shared" si="2"/>
        <v>0</v>
      </c>
      <c r="M43" s="12"/>
    </row>
    <row r="44" spans="1:13" ht="15" customHeight="1" outlineLevel="2" x14ac:dyDescent="0.25">
      <c r="A44" s="147"/>
      <c r="B44" s="14"/>
      <c r="C44" s="25" t="s">
        <v>121</v>
      </c>
      <c r="D44" s="25"/>
      <c r="E44" s="14" t="s">
        <v>81</v>
      </c>
      <c r="F44" s="13"/>
      <c r="G44" s="20">
        <v>109000</v>
      </c>
      <c r="H44" s="20"/>
      <c r="I44" s="20">
        <f t="shared" si="4"/>
        <v>1100</v>
      </c>
      <c r="J44" s="20">
        <f t="shared" si="1"/>
        <v>0</v>
      </c>
      <c r="K44" s="20"/>
      <c r="L44" s="20">
        <f t="shared" si="2"/>
        <v>0</v>
      </c>
      <c r="M44" s="12"/>
    </row>
    <row r="45" spans="1:13" ht="15" customHeight="1" outlineLevel="2" x14ac:dyDescent="0.25">
      <c r="A45" s="147"/>
      <c r="B45" s="14"/>
      <c r="C45" s="25" t="s">
        <v>122</v>
      </c>
      <c r="D45" s="25"/>
      <c r="E45" s="14" t="s">
        <v>50</v>
      </c>
      <c r="F45" s="13"/>
      <c r="G45" s="20">
        <v>20000</v>
      </c>
      <c r="H45" s="20"/>
      <c r="I45" s="20">
        <f t="shared" si="4"/>
        <v>1100</v>
      </c>
      <c r="J45" s="20">
        <f t="shared" si="1"/>
        <v>0</v>
      </c>
      <c r="K45" s="20"/>
      <c r="L45" s="20">
        <f t="shared" si="2"/>
        <v>0</v>
      </c>
      <c r="M45" s="12"/>
    </row>
    <row r="46" spans="1:13" ht="15" customHeight="1" outlineLevel="2" x14ac:dyDescent="0.25">
      <c r="A46" s="147"/>
      <c r="B46" s="14"/>
      <c r="C46" s="25" t="s">
        <v>123</v>
      </c>
      <c r="D46" s="25"/>
      <c r="E46" s="14" t="s">
        <v>50</v>
      </c>
      <c r="F46" s="13"/>
      <c r="G46" s="20">
        <v>115000</v>
      </c>
      <c r="H46" s="20"/>
      <c r="I46" s="20">
        <f t="shared" si="4"/>
        <v>1100</v>
      </c>
      <c r="J46" s="20">
        <f t="shared" si="1"/>
        <v>0</v>
      </c>
      <c r="K46" s="20"/>
      <c r="L46" s="20">
        <f t="shared" si="2"/>
        <v>0</v>
      </c>
      <c r="M46" s="12"/>
    </row>
    <row r="47" spans="1:13" ht="15" customHeight="1" outlineLevel="2" x14ac:dyDescent="0.25">
      <c r="A47" s="147"/>
      <c r="B47" s="14"/>
      <c r="C47" s="25" t="s">
        <v>124</v>
      </c>
      <c r="D47" s="41" t="s">
        <v>125</v>
      </c>
      <c r="E47" s="14" t="s">
        <v>50</v>
      </c>
      <c r="F47" s="13"/>
      <c r="G47" s="20">
        <v>50000</v>
      </c>
      <c r="H47" s="20"/>
      <c r="I47" s="20">
        <f t="shared" si="4"/>
        <v>1100</v>
      </c>
      <c r="J47" s="20">
        <f t="shared" si="1"/>
        <v>0</v>
      </c>
      <c r="K47" s="20"/>
      <c r="L47" s="20">
        <f t="shared" si="2"/>
        <v>0</v>
      </c>
      <c r="M47" s="12"/>
    </row>
    <row r="48" spans="1:13" ht="15" customHeight="1" outlineLevel="2" x14ac:dyDescent="0.25">
      <c r="A48" s="147"/>
      <c r="B48" s="14"/>
      <c r="C48" s="25" t="s">
        <v>127</v>
      </c>
      <c r="D48" s="25" t="s">
        <v>128</v>
      </c>
      <c r="E48" s="14" t="s">
        <v>50</v>
      </c>
      <c r="F48" s="13"/>
      <c r="G48" s="20">
        <v>7000</v>
      </c>
      <c r="H48" s="20"/>
      <c r="I48" s="20">
        <f t="shared" si="4"/>
        <v>1100</v>
      </c>
      <c r="J48" s="20">
        <f t="shared" si="1"/>
        <v>0</v>
      </c>
      <c r="K48" s="20"/>
      <c r="L48" s="20">
        <f t="shared" si="2"/>
        <v>0</v>
      </c>
      <c r="M48" s="12"/>
    </row>
    <row r="49" spans="1:13" ht="15" customHeight="1" outlineLevel="2" x14ac:dyDescent="0.25">
      <c r="A49" s="147"/>
      <c r="B49" s="14"/>
      <c r="C49" s="25" t="s">
        <v>129</v>
      </c>
      <c r="D49" s="25" t="s">
        <v>128</v>
      </c>
      <c r="E49" s="14" t="s">
        <v>50</v>
      </c>
      <c r="F49" s="13"/>
      <c r="G49" s="28">
        <v>15000</v>
      </c>
      <c r="H49" s="28"/>
      <c r="I49" s="20">
        <f t="shared" si="4"/>
        <v>1100</v>
      </c>
      <c r="J49" s="20">
        <f t="shared" si="1"/>
        <v>0</v>
      </c>
      <c r="K49" s="20"/>
      <c r="L49" s="20">
        <f t="shared" si="2"/>
        <v>0</v>
      </c>
      <c r="M49" s="12"/>
    </row>
    <row r="50" spans="1:13" ht="15" customHeight="1" outlineLevel="2" x14ac:dyDescent="0.25">
      <c r="A50" s="147"/>
      <c r="B50" s="14"/>
      <c r="C50" s="25" t="s">
        <v>131</v>
      </c>
      <c r="D50" s="25"/>
      <c r="E50" s="14" t="s">
        <v>50</v>
      </c>
      <c r="F50" s="13"/>
      <c r="G50" s="20">
        <v>8000</v>
      </c>
      <c r="H50" s="20"/>
      <c r="I50" s="20">
        <f>300*$M$3</f>
        <v>330</v>
      </c>
      <c r="J50" s="20">
        <f t="shared" si="1"/>
        <v>0</v>
      </c>
      <c r="K50" s="20"/>
      <c r="L50" s="20">
        <f t="shared" si="2"/>
        <v>0</v>
      </c>
      <c r="M50" s="12"/>
    </row>
    <row r="51" spans="1:13" ht="15" customHeight="1" outlineLevel="2" x14ac:dyDescent="0.25">
      <c r="A51" s="147"/>
      <c r="B51" s="14"/>
      <c r="C51" s="25" t="s">
        <v>132</v>
      </c>
      <c r="D51" s="25" t="s">
        <v>133</v>
      </c>
      <c r="E51" s="14" t="s">
        <v>50</v>
      </c>
      <c r="F51" s="13"/>
      <c r="G51" s="20">
        <v>2300</v>
      </c>
      <c r="H51" s="20"/>
      <c r="I51" s="20">
        <f>100*$M$3</f>
        <v>110</v>
      </c>
      <c r="J51" s="20">
        <f t="shared" si="1"/>
        <v>0</v>
      </c>
      <c r="K51" s="20"/>
      <c r="L51" s="20">
        <f t="shared" si="2"/>
        <v>0</v>
      </c>
      <c r="M51" s="12"/>
    </row>
    <row r="52" spans="1:13" ht="15" customHeight="1" outlineLevel="2" x14ac:dyDescent="0.25">
      <c r="A52" s="147"/>
      <c r="B52" s="14"/>
      <c r="C52" s="25" t="s">
        <v>134</v>
      </c>
      <c r="D52" s="25" t="s">
        <v>135</v>
      </c>
      <c r="E52" s="14" t="s">
        <v>55</v>
      </c>
      <c r="F52" s="13"/>
      <c r="G52" s="20">
        <v>1300</v>
      </c>
      <c r="H52" s="20"/>
      <c r="I52" s="20">
        <f>100*$M$3</f>
        <v>110</v>
      </c>
      <c r="J52" s="20">
        <f t="shared" si="1"/>
        <v>0</v>
      </c>
      <c r="K52" s="20"/>
      <c r="L52" s="20">
        <f t="shared" si="2"/>
        <v>0</v>
      </c>
      <c r="M52" s="12"/>
    </row>
    <row r="53" spans="1:13" ht="15" customHeight="1" outlineLevel="2" x14ac:dyDescent="0.25">
      <c r="A53" s="147"/>
      <c r="B53" s="14"/>
      <c r="C53" s="25" t="s">
        <v>136</v>
      </c>
      <c r="D53" s="25"/>
      <c r="E53" s="14" t="s">
        <v>137</v>
      </c>
      <c r="F53" s="13"/>
      <c r="G53" s="20">
        <v>30000</v>
      </c>
      <c r="H53" s="20"/>
      <c r="I53" s="20">
        <f>1000*$M$3</f>
        <v>1100</v>
      </c>
      <c r="J53" s="20">
        <f t="shared" si="1"/>
        <v>0</v>
      </c>
      <c r="K53" s="20"/>
      <c r="L53" s="20">
        <f t="shared" si="2"/>
        <v>0</v>
      </c>
      <c r="M53" s="12"/>
    </row>
    <row r="54" spans="1:13" ht="15" customHeight="1" outlineLevel="2" x14ac:dyDescent="0.25">
      <c r="A54" s="147"/>
      <c r="B54" s="14"/>
      <c r="C54" s="25" t="s">
        <v>138</v>
      </c>
      <c r="D54" s="25" t="s">
        <v>139</v>
      </c>
      <c r="E54" s="14" t="s">
        <v>50</v>
      </c>
      <c r="F54" s="13"/>
      <c r="G54" s="20">
        <v>4000</v>
      </c>
      <c r="H54" s="20"/>
      <c r="I54" s="20">
        <f>500*$M$3</f>
        <v>550</v>
      </c>
      <c r="J54" s="20">
        <f t="shared" si="1"/>
        <v>0</v>
      </c>
      <c r="K54" s="20"/>
      <c r="L54" s="20">
        <f t="shared" si="2"/>
        <v>0</v>
      </c>
      <c r="M54" s="12"/>
    </row>
    <row r="55" spans="1:13" ht="15" customHeight="1" outlineLevel="2" x14ac:dyDescent="0.25">
      <c r="A55" s="147"/>
      <c r="B55" s="14"/>
      <c r="C55" s="19" t="s">
        <v>140</v>
      </c>
      <c r="D55" s="19"/>
      <c r="E55" s="13" t="s">
        <v>141</v>
      </c>
      <c r="F55" s="13">
        <v>50</v>
      </c>
      <c r="G55" s="20"/>
      <c r="H55" s="20">
        <f t="shared" ref="H55:I57" si="5">5*$M$3</f>
        <v>5.5</v>
      </c>
      <c r="I55" s="20">
        <f t="shared" si="5"/>
        <v>5.5</v>
      </c>
      <c r="J55" s="20"/>
      <c r="K55" s="20">
        <f>F55*H55</f>
        <v>275</v>
      </c>
      <c r="L55" s="20">
        <f t="shared" si="2"/>
        <v>275</v>
      </c>
      <c r="M55" s="12"/>
    </row>
    <row r="56" spans="1:13" ht="15" customHeight="1" outlineLevel="2" x14ac:dyDescent="0.25">
      <c r="A56" s="147"/>
      <c r="B56" s="14"/>
      <c r="C56" s="19" t="s">
        <v>142</v>
      </c>
      <c r="D56" s="19"/>
      <c r="E56" s="13" t="s">
        <v>141</v>
      </c>
      <c r="F56" s="13"/>
      <c r="G56" s="20"/>
      <c r="H56" s="20">
        <f t="shared" si="5"/>
        <v>5.5</v>
      </c>
      <c r="I56" s="20">
        <f t="shared" si="5"/>
        <v>5.5</v>
      </c>
      <c r="J56" s="20"/>
      <c r="K56" s="20">
        <f>F56*H56</f>
        <v>0</v>
      </c>
      <c r="L56" s="20">
        <f t="shared" si="2"/>
        <v>0</v>
      </c>
      <c r="M56" s="12"/>
    </row>
    <row r="57" spans="1:13" ht="15" customHeight="1" outlineLevel="2" x14ac:dyDescent="0.25">
      <c r="A57" s="147"/>
      <c r="B57" s="14"/>
      <c r="C57" s="19" t="s">
        <v>143</v>
      </c>
      <c r="D57" s="19" t="s">
        <v>144</v>
      </c>
      <c r="E57" s="13" t="s">
        <v>141</v>
      </c>
      <c r="F57" s="13"/>
      <c r="G57" s="20"/>
      <c r="H57" s="20">
        <f t="shared" si="5"/>
        <v>5.5</v>
      </c>
      <c r="I57" s="20">
        <f t="shared" si="5"/>
        <v>5.5</v>
      </c>
      <c r="J57" s="20"/>
      <c r="K57" s="20">
        <f>F57*H57</f>
        <v>0</v>
      </c>
      <c r="L57" s="20">
        <f t="shared" si="2"/>
        <v>0</v>
      </c>
      <c r="M57" s="12"/>
    </row>
    <row r="58" spans="1:13" ht="15" customHeight="1" outlineLevel="2" x14ac:dyDescent="0.25">
      <c r="A58" s="147"/>
      <c r="B58" s="14"/>
      <c r="C58" s="19" t="s">
        <v>145</v>
      </c>
      <c r="D58" s="19" t="s">
        <v>146</v>
      </c>
      <c r="E58" s="13" t="s">
        <v>141</v>
      </c>
      <c r="F58" s="13"/>
      <c r="G58" s="20"/>
      <c r="H58" s="20">
        <f>12.76*$M$3</f>
        <v>14.036</v>
      </c>
      <c r="I58" s="20">
        <f>5*$M$3</f>
        <v>5.5</v>
      </c>
      <c r="J58" s="20"/>
      <c r="K58" s="20">
        <f>F58*H58</f>
        <v>0</v>
      </c>
      <c r="L58" s="20">
        <f t="shared" si="2"/>
        <v>0</v>
      </c>
      <c r="M58" s="12"/>
    </row>
    <row r="59" spans="1:13" ht="15" customHeight="1" outlineLevel="1" x14ac:dyDescent="0.25">
      <c r="A59" s="147"/>
      <c r="B59" s="14">
        <v>3.2</v>
      </c>
      <c r="C59" s="19" t="s">
        <v>147</v>
      </c>
      <c r="D59" s="19"/>
      <c r="E59" s="13"/>
      <c r="F59" s="13"/>
      <c r="G59" s="20"/>
      <c r="H59" s="20"/>
      <c r="I59" s="20"/>
      <c r="J59" s="20"/>
      <c r="K59" s="20"/>
      <c r="L59" s="20"/>
      <c r="M59" s="12"/>
    </row>
    <row r="60" spans="1:13" ht="15" customHeight="1" outlineLevel="2" x14ac:dyDescent="0.25">
      <c r="A60" s="147"/>
      <c r="B60" s="14"/>
      <c r="C60" s="21" t="s">
        <v>148</v>
      </c>
      <c r="D60" s="21"/>
      <c r="E60" s="14" t="s">
        <v>50</v>
      </c>
      <c r="F60" s="13">
        <v>2</v>
      </c>
      <c r="G60" s="20">
        <v>1500</v>
      </c>
      <c r="H60" s="20"/>
      <c r="I60" s="20">
        <f>500*$M$3</f>
        <v>550</v>
      </c>
      <c r="J60" s="20">
        <f t="shared" si="1"/>
        <v>3000</v>
      </c>
      <c r="K60" s="20"/>
      <c r="L60" s="20">
        <f t="shared" si="2"/>
        <v>1100</v>
      </c>
      <c r="M60" s="12"/>
    </row>
    <row r="61" spans="1:13" ht="15" customHeight="1" outlineLevel="2" x14ac:dyDescent="0.25">
      <c r="A61" s="147"/>
      <c r="B61" s="14"/>
      <c r="C61" s="21" t="s">
        <v>149</v>
      </c>
      <c r="D61" s="21"/>
      <c r="E61" s="14" t="s">
        <v>50</v>
      </c>
      <c r="F61" s="13"/>
      <c r="G61" s="20">
        <v>5000</v>
      </c>
      <c r="H61" s="20"/>
      <c r="I61" s="20">
        <f>1000*$M$3</f>
        <v>1100</v>
      </c>
      <c r="J61" s="20">
        <f t="shared" si="1"/>
        <v>0</v>
      </c>
      <c r="K61" s="20"/>
      <c r="L61" s="20">
        <f t="shared" si="2"/>
        <v>0</v>
      </c>
      <c r="M61" s="12"/>
    </row>
    <row r="62" spans="1:13" ht="15" customHeight="1" outlineLevel="2" x14ac:dyDescent="0.25">
      <c r="A62" s="147"/>
      <c r="B62" s="14"/>
      <c r="C62" s="21" t="s">
        <v>150</v>
      </c>
      <c r="D62" s="21" t="s">
        <v>100</v>
      </c>
      <c r="E62" s="14" t="s">
        <v>50</v>
      </c>
      <c r="F62" s="13"/>
      <c r="G62" s="20">
        <v>20000</v>
      </c>
      <c r="H62" s="20"/>
      <c r="I62" s="20">
        <f t="shared" ref="I62:I63" si="6">1000*$M$3</f>
        <v>1100</v>
      </c>
      <c r="J62" s="20">
        <f t="shared" si="1"/>
        <v>0</v>
      </c>
      <c r="K62" s="20"/>
      <c r="L62" s="20">
        <f t="shared" si="2"/>
        <v>0</v>
      </c>
      <c r="M62" s="12"/>
    </row>
    <row r="63" spans="1:13" ht="15" customHeight="1" outlineLevel="2" x14ac:dyDescent="0.25">
      <c r="A63" s="147"/>
      <c r="B63" s="14"/>
      <c r="C63" s="25" t="s">
        <v>136</v>
      </c>
      <c r="D63" s="25"/>
      <c r="E63" s="14" t="s">
        <v>137</v>
      </c>
      <c r="F63" s="13"/>
      <c r="G63" s="20">
        <v>30000</v>
      </c>
      <c r="H63" s="20"/>
      <c r="I63" s="20">
        <f t="shared" si="6"/>
        <v>1100</v>
      </c>
      <c r="J63" s="20">
        <f t="shared" si="1"/>
        <v>0</v>
      </c>
      <c r="K63" s="20"/>
      <c r="L63" s="20">
        <f t="shared" si="2"/>
        <v>0</v>
      </c>
      <c r="M63" s="12"/>
    </row>
    <row r="64" spans="1:13" ht="15" customHeight="1" outlineLevel="2" x14ac:dyDescent="0.25">
      <c r="A64" s="147"/>
      <c r="B64" s="14"/>
      <c r="C64" s="25" t="s">
        <v>138</v>
      </c>
      <c r="D64" s="25" t="s">
        <v>139</v>
      </c>
      <c r="E64" s="14" t="s">
        <v>50</v>
      </c>
      <c r="F64" s="13"/>
      <c r="G64" s="20">
        <v>4000</v>
      </c>
      <c r="H64" s="20"/>
      <c r="I64" s="20">
        <f>500*$M$3</f>
        <v>550</v>
      </c>
      <c r="J64" s="20">
        <f t="shared" si="1"/>
        <v>0</v>
      </c>
      <c r="K64" s="20"/>
      <c r="L64" s="20">
        <f t="shared" si="2"/>
        <v>0</v>
      </c>
      <c r="M64" s="12"/>
    </row>
    <row r="65" spans="1:13" ht="15" customHeight="1" outlineLevel="1" x14ac:dyDescent="0.25">
      <c r="A65" s="147"/>
      <c r="B65" s="14">
        <v>3.3</v>
      </c>
      <c r="C65" s="19" t="s">
        <v>154</v>
      </c>
      <c r="D65" s="21" t="s">
        <v>317</v>
      </c>
      <c r="E65" s="13" t="s">
        <v>50</v>
      </c>
      <c r="F65" s="13"/>
      <c r="G65" s="20">
        <v>123500</v>
      </c>
      <c r="H65" s="20"/>
      <c r="I65" s="20"/>
      <c r="J65" s="20">
        <f t="shared" si="1"/>
        <v>0</v>
      </c>
      <c r="K65" s="20"/>
      <c r="L65" s="20"/>
      <c r="M65" s="12"/>
    </row>
    <row r="66" spans="1:13" ht="14.25" customHeight="1" x14ac:dyDescent="0.25">
      <c r="A66" s="147"/>
      <c r="B66" s="17">
        <v>4</v>
      </c>
      <c r="C66" s="18" t="s">
        <v>157</v>
      </c>
      <c r="D66" s="19"/>
      <c r="E66" s="13"/>
      <c r="F66" s="13"/>
      <c r="G66" s="20"/>
      <c r="H66" s="20"/>
      <c r="I66" s="20"/>
      <c r="J66" s="20"/>
      <c r="K66" s="20"/>
      <c r="L66" s="20"/>
      <c r="M66" s="12"/>
    </row>
    <row r="67" spans="1:13" ht="14.25" customHeight="1" outlineLevel="1" x14ac:dyDescent="0.25">
      <c r="A67" s="147"/>
      <c r="B67" s="14">
        <v>4.0999999999999996</v>
      </c>
      <c r="C67" s="19" t="s">
        <v>162</v>
      </c>
      <c r="D67" s="19"/>
      <c r="E67" s="13"/>
      <c r="F67" s="13"/>
      <c r="G67" s="20"/>
      <c r="H67" s="20"/>
      <c r="I67" s="20"/>
      <c r="J67" s="20"/>
      <c r="K67" s="20"/>
      <c r="L67" s="20"/>
      <c r="M67" s="12"/>
    </row>
    <row r="68" spans="1:13" ht="14.25" customHeight="1" outlineLevel="2" x14ac:dyDescent="0.25">
      <c r="A68" s="147"/>
      <c r="B68" s="14"/>
      <c r="C68" s="19"/>
      <c r="D68" s="19" t="s">
        <v>318</v>
      </c>
      <c r="E68" s="13" t="s">
        <v>141</v>
      </c>
      <c r="F68" s="13"/>
      <c r="G68" s="20"/>
      <c r="H68" s="42">
        <f>203.59*$M$3</f>
        <v>223.94900000000001</v>
      </c>
      <c r="I68" s="20">
        <f>20*$M$3</f>
        <v>22</v>
      </c>
      <c r="J68" s="20"/>
      <c r="K68" s="20">
        <f t="shared" ref="K68:K88" si="7">F68*H68</f>
        <v>0</v>
      </c>
      <c r="L68" s="20">
        <f t="shared" si="2"/>
        <v>0</v>
      </c>
      <c r="M68" s="12"/>
    </row>
    <row r="69" spans="1:13" ht="14.25" customHeight="1" outlineLevel="2" x14ac:dyDescent="0.25">
      <c r="A69" s="147"/>
      <c r="B69" s="14"/>
      <c r="C69" s="19"/>
      <c r="D69" s="19" t="s">
        <v>168</v>
      </c>
      <c r="E69" s="13" t="s">
        <v>141</v>
      </c>
      <c r="F69" s="13"/>
      <c r="G69" s="20"/>
      <c r="H69" s="42">
        <f>281.67*$M$3</f>
        <v>309.83699999999999</v>
      </c>
      <c r="I69" s="20">
        <f t="shared" ref="I69:I81" si="8">20*$M$3</f>
        <v>22</v>
      </c>
      <c r="J69" s="20"/>
      <c r="K69" s="20">
        <f t="shared" si="7"/>
        <v>0</v>
      </c>
      <c r="L69" s="20">
        <f t="shared" si="2"/>
        <v>0</v>
      </c>
      <c r="M69" s="12"/>
    </row>
    <row r="70" spans="1:13" ht="14.25" customHeight="1" outlineLevel="2" x14ac:dyDescent="0.25">
      <c r="A70" s="147"/>
      <c r="B70" s="14"/>
      <c r="C70" s="19"/>
      <c r="D70" s="19" t="s">
        <v>169</v>
      </c>
      <c r="E70" s="13" t="s">
        <v>141</v>
      </c>
      <c r="F70" s="13"/>
      <c r="G70" s="20"/>
      <c r="H70" s="42">
        <f>361.65*$M$3</f>
        <v>397.815</v>
      </c>
      <c r="I70" s="20">
        <f t="shared" si="8"/>
        <v>22</v>
      </c>
      <c r="J70" s="20"/>
      <c r="K70" s="20">
        <f t="shared" si="7"/>
        <v>0</v>
      </c>
      <c r="L70" s="20">
        <f t="shared" si="2"/>
        <v>0</v>
      </c>
      <c r="M70" s="12"/>
    </row>
    <row r="71" spans="1:13" ht="14.25" customHeight="1" outlineLevel="2" x14ac:dyDescent="0.25">
      <c r="A71" s="147"/>
      <c r="B71" s="14"/>
      <c r="C71" s="19"/>
      <c r="D71" s="19" t="s">
        <v>170</v>
      </c>
      <c r="E71" s="13" t="s">
        <v>141</v>
      </c>
      <c r="F71" s="13"/>
      <c r="G71" s="20"/>
      <c r="H71" s="42">
        <f>427.5*$M$3</f>
        <v>470.25</v>
      </c>
      <c r="I71" s="20">
        <f t="shared" si="8"/>
        <v>22</v>
      </c>
      <c r="J71" s="20"/>
      <c r="K71" s="20">
        <f t="shared" si="7"/>
        <v>0</v>
      </c>
      <c r="L71" s="20">
        <f t="shared" si="2"/>
        <v>0</v>
      </c>
      <c r="M71" s="12"/>
    </row>
    <row r="72" spans="1:13" ht="14.25" customHeight="1" outlineLevel="2" x14ac:dyDescent="0.25">
      <c r="A72" s="147"/>
      <c r="B72" s="14"/>
      <c r="C72" s="19"/>
      <c r="D72" s="19" t="s">
        <v>319</v>
      </c>
      <c r="E72" s="13" t="s">
        <v>141</v>
      </c>
      <c r="F72" s="13"/>
      <c r="G72" s="20"/>
      <c r="H72" s="42">
        <f>38.33*$M$3</f>
        <v>42.162999999999997</v>
      </c>
      <c r="I72" s="20">
        <f t="shared" si="8"/>
        <v>22</v>
      </c>
      <c r="J72" s="20"/>
      <c r="K72" s="20">
        <f t="shared" si="7"/>
        <v>0</v>
      </c>
      <c r="L72" s="20">
        <f t="shared" ref="L72:L128" si="9">F72*I72</f>
        <v>0</v>
      </c>
      <c r="M72" s="12"/>
    </row>
    <row r="73" spans="1:13" ht="14.25" customHeight="1" outlineLevel="2" x14ac:dyDescent="0.25">
      <c r="A73" s="147"/>
      <c r="B73" s="14"/>
      <c r="C73" s="19"/>
      <c r="D73" s="19" t="s">
        <v>164</v>
      </c>
      <c r="E73" s="13" t="s">
        <v>141</v>
      </c>
      <c r="F73" s="13">
        <v>20</v>
      </c>
      <c r="G73" s="20"/>
      <c r="H73" s="31">
        <f>48.82*$M$3</f>
        <v>53.701999999999998</v>
      </c>
      <c r="I73" s="20">
        <f t="shared" si="8"/>
        <v>22</v>
      </c>
      <c r="J73" s="20"/>
      <c r="K73" s="20">
        <f t="shared" si="7"/>
        <v>1074.04</v>
      </c>
      <c r="L73" s="20">
        <f t="shared" si="9"/>
        <v>440</v>
      </c>
      <c r="M73" s="12"/>
    </row>
    <row r="74" spans="1:13" ht="14.25" customHeight="1" outlineLevel="2" x14ac:dyDescent="0.25">
      <c r="A74" s="147"/>
      <c r="B74" s="14"/>
      <c r="C74" s="19"/>
      <c r="D74" s="19" t="s">
        <v>165</v>
      </c>
      <c r="E74" s="13" t="s">
        <v>141</v>
      </c>
      <c r="F74" s="13"/>
      <c r="G74" s="20"/>
      <c r="H74" s="42">
        <f>55.9*$M$3</f>
        <v>61.49</v>
      </c>
      <c r="I74" s="20">
        <f t="shared" si="8"/>
        <v>22</v>
      </c>
      <c r="J74" s="20"/>
      <c r="K74" s="20">
        <f t="shared" si="7"/>
        <v>0</v>
      </c>
      <c r="L74" s="20">
        <f t="shared" si="9"/>
        <v>0</v>
      </c>
      <c r="M74" s="12"/>
    </row>
    <row r="75" spans="1:13" ht="14.25" customHeight="1" outlineLevel="2" x14ac:dyDescent="0.25">
      <c r="A75" s="147"/>
      <c r="B75" s="14"/>
      <c r="C75" s="19"/>
      <c r="D75" s="19" t="s">
        <v>320</v>
      </c>
      <c r="E75" s="13" t="s">
        <v>141</v>
      </c>
      <c r="F75" s="13"/>
      <c r="G75" s="20"/>
      <c r="H75" s="42">
        <f>68.89*$M$3</f>
        <v>75.778999999999996</v>
      </c>
      <c r="I75" s="20">
        <f t="shared" si="8"/>
        <v>22</v>
      </c>
      <c r="J75" s="20"/>
      <c r="K75" s="20">
        <f t="shared" si="7"/>
        <v>0</v>
      </c>
      <c r="L75" s="20">
        <f t="shared" si="9"/>
        <v>0</v>
      </c>
      <c r="M75" s="12"/>
    </row>
    <row r="76" spans="1:13" ht="14.25" customHeight="1" outlineLevel="2" x14ac:dyDescent="0.25">
      <c r="A76" s="147"/>
      <c r="B76" s="14"/>
      <c r="C76" s="19"/>
      <c r="D76" s="19" t="s">
        <v>173</v>
      </c>
      <c r="E76" s="13" t="s">
        <v>141</v>
      </c>
      <c r="F76" s="13"/>
      <c r="G76" s="20"/>
      <c r="H76" s="42">
        <f>36.5*$M$3</f>
        <v>40.15</v>
      </c>
      <c r="I76" s="20">
        <f t="shared" si="8"/>
        <v>22</v>
      </c>
      <c r="J76" s="20"/>
      <c r="K76" s="20">
        <f t="shared" si="7"/>
        <v>0</v>
      </c>
      <c r="L76" s="20">
        <f t="shared" si="9"/>
        <v>0</v>
      </c>
      <c r="M76" s="12"/>
    </row>
    <row r="77" spans="1:13" ht="14.25" customHeight="1" outlineLevel="2" x14ac:dyDescent="0.25">
      <c r="A77" s="147"/>
      <c r="B77" s="14"/>
      <c r="C77" s="19"/>
      <c r="D77" s="19" t="s">
        <v>174</v>
      </c>
      <c r="E77" s="13" t="s">
        <v>141</v>
      </c>
      <c r="F77" s="13"/>
      <c r="G77" s="20"/>
      <c r="H77" s="42">
        <f>43.82*$M$3</f>
        <v>48.201999999999998</v>
      </c>
      <c r="I77" s="20">
        <f t="shared" si="8"/>
        <v>22</v>
      </c>
      <c r="J77" s="20"/>
      <c r="K77" s="20">
        <f t="shared" si="7"/>
        <v>0</v>
      </c>
      <c r="L77" s="20">
        <f t="shared" si="9"/>
        <v>0</v>
      </c>
      <c r="M77" s="12"/>
    </row>
    <row r="78" spans="1:13" ht="14.25" customHeight="1" outlineLevel="2" x14ac:dyDescent="0.25">
      <c r="A78" s="147"/>
      <c r="B78" s="14"/>
      <c r="C78" s="19"/>
      <c r="D78" s="19" t="s">
        <v>175</v>
      </c>
      <c r="E78" s="13" t="s">
        <v>141</v>
      </c>
      <c r="F78" s="13"/>
      <c r="G78" s="20"/>
      <c r="H78" s="42">
        <f>52.01*$M$3</f>
        <v>57.210999999999999</v>
      </c>
      <c r="I78" s="20">
        <f t="shared" si="8"/>
        <v>22</v>
      </c>
      <c r="J78" s="20"/>
      <c r="K78" s="20">
        <f t="shared" si="7"/>
        <v>0</v>
      </c>
      <c r="L78" s="20">
        <f t="shared" si="9"/>
        <v>0</v>
      </c>
      <c r="M78" s="12"/>
    </row>
    <row r="79" spans="1:13" ht="14.25" customHeight="1" outlineLevel="2" x14ac:dyDescent="0.25">
      <c r="A79" s="147"/>
      <c r="B79" s="14"/>
      <c r="C79" s="19"/>
      <c r="D79" s="19" t="s">
        <v>179</v>
      </c>
      <c r="E79" s="13" t="s">
        <v>141</v>
      </c>
      <c r="F79" s="26"/>
      <c r="G79" s="20"/>
      <c r="H79" s="42">
        <f>246.16*$M$3</f>
        <v>270.77600000000001</v>
      </c>
      <c r="I79" s="20">
        <f t="shared" si="8"/>
        <v>22</v>
      </c>
      <c r="J79" s="20"/>
      <c r="K79" s="20">
        <f t="shared" si="7"/>
        <v>0</v>
      </c>
      <c r="L79" s="20">
        <f t="shared" si="9"/>
        <v>0</v>
      </c>
      <c r="M79" s="12"/>
    </row>
    <row r="80" spans="1:13" ht="14.25" customHeight="1" outlineLevel="2" x14ac:dyDescent="0.25">
      <c r="A80" s="147"/>
      <c r="B80" s="14"/>
      <c r="C80" s="19"/>
      <c r="D80" s="19" t="s">
        <v>180</v>
      </c>
      <c r="E80" s="13" t="s">
        <v>141</v>
      </c>
      <c r="F80" s="26"/>
      <c r="G80" s="20"/>
      <c r="H80" s="42">
        <f>307.98*$M$3</f>
        <v>338.77800000000002</v>
      </c>
      <c r="I80" s="20">
        <f t="shared" si="8"/>
        <v>22</v>
      </c>
      <c r="J80" s="20"/>
      <c r="K80" s="20">
        <f t="shared" si="7"/>
        <v>0</v>
      </c>
      <c r="L80" s="20">
        <f t="shared" si="9"/>
        <v>0</v>
      </c>
      <c r="M80" s="12"/>
    </row>
    <row r="81" spans="1:13" ht="14.25" customHeight="1" outlineLevel="2" x14ac:dyDescent="0.25">
      <c r="A81" s="147"/>
      <c r="B81" s="14"/>
      <c r="C81" s="19"/>
      <c r="D81" s="19" t="s">
        <v>181</v>
      </c>
      <c r="E81" s="13" t="s">
        <v>141</v>
      </c>
      <c r="F81" s="26"/>
      <c r="G81" s="20"/>
      <c r="H81" s="42">
        <f>375.97*$M$3</f>
        <v>413.56700000000001</v>
      </c>
      <c r="I81" s="20">
        <f t="shared" si="8"/>
        <v>22</v>
      </c>
      <c r="J81" s="20"/>
      <c r="K81" s="20">
        <f t="shared" si="7"/>
        <v>0</v>
      </c>
      <c r="L81" s="20">
        <f t="shared" si="9"/>
        <v>0</v>
      </c>
      <c r="M81" s="12"/>
    </row>
    <row r="82" spans="1:13" ht="14.25" customHeight="1" outlineLevel="1" x14ac:dyDescent="0.25">
      <c r="A82" s="147"/>
      <c r="B82" s="14">
        <v>4.2</v>
      </c>
      <c r="C82" s="19" t="s">
        <v>185</v>
      </c>
      <c r="D82" s="19"/>
      <c r="E82" s="13"/>
      <c r="F82" s="26"/>
      <c r="G82" s="20"/>
      <c r="H82" s="42"/>
      <c r="I82" s="20"/>
      <c r="J82" s="20"/>
      <c r="K82" s="20"/>
      <c r="L82" s="20"/>
      <c r="M82" s="12"/>
    </row>
    <row r="83" spans="1:13" ht="14.25" customHeight="1" outlineLevel="2" x14ac:dyDescent="0.25">
      <c r="A83" s="147"/>
      <c r="B83" s="14"/>
      <c r="C83" s="19"/>
      <c r="D83" s="19" t="s">
        <v>187</v>
      </c>
      <c r="E83" s="13" t="s">
        <v>141</v>
      </c>
      <c r="F83" s="13"/>
      <c r="G83" s="20"/>
      <c r="H83" s="42">
        <f>283.5*$M$3</f>
        <v>311.85000000000002</v>
      </c>
      <c r="I83" s="20">
        <f>30*$M$3</f>
        <v>33</v>
      </c>
      <c r="J83" s="20"/>
      <c r="K83" s="20">
        <f t="shared" si="7"/>
        <v>0</v>
      </c>
      <c r="L83" s="20">
        <f t="shared" si="9"/>
        <v>0</v>
      </c>
      <c r="M83" s="12"/>
    </row>
    <row r="84" spans="1:13" ht="14.25" customHeight="1" outlineLevel="2" x14ac:dyDescent="0.25">
      <c r="A84" s="147"/>
      <c r="B84" s="14"/>
      <c r="C84" s="19"/>
      <c r="D84" s="19" t="s">
        <v>188</v>
      </c>
      <c r="E84" s="13" t="s">
        <v>141</v>
      </c>
      <c r="F84" s="13"/>
      <c r="G84" s="20"/>
      <c r="H84" s="42">
        <f>346.56*$M$3</f>
        <v>381.21600000000001</v>
      </c>
      <c r="I84" s="20">
        <f t="shared" ref="I84:I85" si="10">30*$M$3</f>
        <v>33</v>
      </c>
      <c r="J84" s="20"/>
      <c r="K84" s="20">
        <f t="shared" si="7"/>
        <v>0</v>
      </c>
      <c r="L84" s="20">
        <f t="shared" si="9"/>
        <v>0</v>
      </c>
      <c r="M84" s="12"/>
    </row>
    <row r="85" spans="1:13" ht="14.25" customHeight="1" outlineLevel="2" x14ac:dyDescent="0.25">
      <c r="A85" s="147"/>
      <c r="B85" s="14"/>
      <c r="C85" s="19"/>
      <c r="D85" s="19" t="s">
        <v>189</v>
      </c>
      <c r="E85" s="13" t="s">
        <v>141</v>
      </c>
      <c r="F85" s="13"/>
      <c r="G85" s="20"/>
      <c r="H85" s="42">
        <f>414.05*$M$3</f>
        <v>455.45499999999998</v>
      </c>
      <c r="I85" s="20">
        <f t="shared" si="10"/>
        <v>33</v>
      </c>
      <c r="J85" s="20"/>
      <c r="K85" s="20">
        <f t="shared" si="7"/>
        <v>0</v>
      </c>
      <c r="L85" s="20">
        <f t="shared" si="9"/>
        <v>0</v>
      </c>
      <c r="M85" s="12"/>
    </row>
    <row r="86" spans="1:13" ht="14.25" customHeight="1" outlineLevel="1" x14ac:dyDescent="0.25">
      <c r="A86" s="147"/>
      <c r="B86" s="14">
        <v>4.3</v>
      </c>
      <c r="C86" s="19" t="s">
        <v>196</v>
      </c>
      <c r="D86" s="19"/>
      <c r="E86" s="13"/>
      <c r="F86" s="13"/>
      <c r="G86" s="20"/>
      <c r="H86" s="20"/>
      <c r="I86" s="20"/>
      <c r="J86" s="20"/>
      <c r="K86" s="20"/>
      <c r="L86" s="20"/>
      <c r="M86" s="12"/>
    </row>
    <row r="87" spans="1:13" ht="14.25" customHeight="1" outlineLevel="2" x14ac:dyDescent="0.25">
      <c r="A87" s="147"/>
      <c r="B87" s="14"/>
      <c r="C87" s="19" t="s">
        <v>197</v>
      </c>
      <c r="D87" s="19" t="s">
        <v>198</v>
      </c>
      <c r="E87" s="13" t="s">
        <v>50</v>
      </c>
      <c r="F87" s="13"/>
      <c r="G87" s="20"/>
      <c r="H87" s="20">
        <f>500*$M$3</f>
        <v>550</v>
      </c>
      <c r="I87" s="20">
        <f>200*$M$3</f>
        <v>220</v>
      </c>
      <c r="J87" s="20"/>
      <c r="K87" s="20">
        <f t="shared" si="7"/>
        <v>0</v>
      </c>
      <c r="L87" s="20">
        <f t="shared" si="9"/>
        <v>0</v>
      </c>
      <c r="M87" s="12"/>
    </row>
    <row r="88" spans="1:13" ht="14.25" customHeight="1" outlineLevel="2" x14ac:dyDescent="0.25">
      <c r="A88" s="147"/>
      <c r="B88" s="14"/>
      <c r="C88" s="19" t="s">
        <v>199</v>
      </c>
      <c r="D88" s="19"/>
      <c r="E88" s="43" t="s">
        <v>50</v>
      </c>
      <c r="F88" s="13">
        <v>2</v>
      </c>
      <c r="G88" s="20"/>
      <c r="H88" s="20">
        <f>200*$M$3</f>
        <v>220</v>
      </c>
      <c r="I88" s="20">
        <f>200*$M$3</f>
        <v>220</v>
      </c>
      <c r="J88" s="20"/>
      <c r="K88" s="20">
        <f t="shared" si="7"/>
        <v>440</v>
      </c>
      <c r="L88" s="20">
        <f t="shared" si="9"/>
        <v>440</v>
      </c>
      <c r="M88" s="12"/>
    </row>
    <row r="89" spans="1:13" ht="14.25" customHeight="1" outlineLevel="1" x14ac:dyDescent="0.25">
      <c r="A89" s="147"/>
      <c r="B89" s="14">
        <v>4.4000000000000004</v>
      </c>
      <c r="C89" s="19" t="s">
        <v>200</v>
      </c>
      <c r="D89" s="19"/>
      <c r="E89" s="13"/>
      <c r="F89" s="13"/>
      <c r="G89" s="20"/>
      <c r="H89" s="20"/>
      <c r="I89" s="20"/>
      <c r="J89" s="20"/>
      <c r="K89" s="20"/>
      <c r="L89" s="20"/>
      <c r="M89" s="12"/>
    </row>
    <row r="90" spans="1:13" ht="12" outlineLevel="2" x14ac:dyDescent="0.25">
      <c r="A90" s="147"/>
      <c r="B90" s="14"/>
      <c r="C90" s="19" t="s">
        <v>201</v>
      </c>
      <c r="D90" s="21" t="s">
        <v>202</v>
      </c>
      <c r="E90" s="13" t="s">
        <v>141</v>
      </c>
      <c r="F90" s="32"/>
      <c r="G90" s="20"/>
      <c r="H90" s="20">
        <f>3*$M$3</f>
        <v>3.3</v>
      </c>
      <c r="I90" s="20">
        <f>8*$M$3</f>
        <v>8.8000000000000007</v>
      </c>
      <c r="J90" s="20"/>
      <c r="K90" s="20">
        <f>F90*H90</f>
        <v>0</v>
      </c>
      <c r="L90" s="20">
        <f t="shared" si="9"/>
        <v>0</v>
      </c>
      <c r="M90" s="12"/>
    </row>
    <row r="91" spans="1:13" ht="12" outlineLevel="2" x14ac:dyDescent="0.25">
      <c r="A91" s="147"/>
      <c r="B91" s="14"/>
      <c r="C91" s="19" t="s">
        <v>203</v>
      </c>
      <c r="D91" s="21" t="s">
        <v>204</v>
      </c>
      <c r="E91" s="13" t="s">
        <v>141</v>
      </c>
      <c r="F91" s="32"/>
      <c r="G91" s="20"/>
      <c r="H91" s="20">
        <f>190*$M$3</f>
        <v>209</v>
      </c>
      <c r="I91" s="20">
        <f>15*$M$3</f>
        <v>16.5</v>
      </c>
      <c r="J91" s="20"/>
      <c r="K91" s="20">
        <f>F91*H91</f>
        <v>0</v>
      </c>
      <c r="L91" s="20">
        <f t="shared" si="9"/>
        <v>0</v>
      </c>
      <c r="M91" s="12"/>
    </row>
    <row r="92" spans="1:13" ht="12" outlineLevel="2" x14ac:dyDescent="0.25">
      <c r="A92" s="147"/>
      <c r="B92" s="14"/>
      <c r="C92" s="19" t="s">
        <v>203</v>
      </c>
      <c r="D92" s="21" t="s">
        <v>205</v>
      </c>
      <c r="E92" s="13" t="s">
        <v>141</v>
      </c>
      <c r="F92" s="13"/>
      <c r="G92" s="20"/>
      <c r="H92" s="20">
        <f>280*$M$3</f>
        <v>308</v>
      </c>
      <c r="I92" s="20">
        <f>15*$M$3</f>
        <v>16.5</v>
      </c>
      <c r="J92" s="20"/>
      <c r="K92" s="20">
        <f t="shared" ref="K92:K96" si="11">F92*H92</f>
        <v>0</v>
      </c>
      <c r="L92" s="20">
        <f t="shared" si="9"/>
        <v>0</v>
      </c>
      <c r="M92" s="12"/>
    </row>
    <row r="93" spans="1:13" ht="12" outlineLevel="2" x14ac:dyDescent="0.25">
      <c r="A93" s="147"/>
      <c r="B93" s="14"/>
      <c r="C93" s="19" t="s">
        <v>206</v>
      </c>
      <c r="D93" s="33" t="s">
        <v>207</v>
      </c>
      <c r="E93" s="13" t="s">
        <v>141</v>
      </c>
      <c r="F93" s="13"/>
      <c r="G93" s="20"/>
      <c r="H93" s="20">
        <f>32*$M$3</f>
        <v>35.200000000000003</v>
      </c>
      <c r="I93" s="20">
        <f>17*$M$3</f>
        <v>18.7</v>
      </c>
      <c r="J93" s="20"/>
      <c r="K93" s="20">
        <f t="shared" si="11"/>
        <v>0</v>
      </c>
      <c r="L93" s="20">
        <f t="shared" si="9"/>
        <v>0</v>
      </c>
      <c r="M93" s="12"/>
    </row>
    <row r="94" spans="1:13" ht="12" outlineLevel="2" x14ac:dyDescent="0.25">
      <c r="A94" s="147"/>
      <c r="B94" s="14"/>
      <c r="C94" s="19" t="s">
        <v>206</v>
      </c>
      <c r="D94" s="33" t="s">
        <v>208</v>
      </c>
      <c r="E94" s="13" t="s">
        <v>141</v>
      </c>
      <c r="F94" s="13">
        <v>15</v>
      </c>
      <c r="G94" s="20"/>
      <c r="H94" s="20">
        <f>60*$M$3</f>
        <v>66</v>
      </c>
      <c r="I94" s="20">
        <f>28*$M$3</f>
        <v>30.8</v>
      </c>
      <c r="J94" s="20"/>
      <c r="K94" s="20">
        <f t="shared" si="11"/>
        <v>990</v>
      </c>
      <c r="L94" s="20">
        <f t="shared" si="9"/>
        <v>462</v>
      </c>
      <c r="M94" s="12"/>
    </row>
    <row r="95" spans="1:13" ht="12" outlineLevel="2" x14ac:dyDescent="0.25">
      <c r="A95" s="147"/>
      <c r="B95" s="14"/>
      <c r="C95" s="19" t="s">
        <v>206</v>
      </c>
      <c r="D95" s="33" t="s">
        <v>209</v>
      </c>
      <c r="E95" s="13" t="s">
        <v>141</v>
      </c>
      <c r="F95" s="13"/>
      <c r="G95" s="20"/>
      <c r="H95" s="20">
        <f>85*$M$3</f>
        <v>93.5</v>
      </c>
      <c r="I95" s="20">
        <f>32*$M$3</f>
        <v>35.200000000000003</v>
      </c>
      <c r="J95" s="20"/>
      <c r="K95" s="20">
        <f t="shared" si="11"/>
        <v>0</v>
      </c>
      <c r="L95" s="20">
        <f t="shared" si="9"/>
        <v>0</v>
      </c>
      <c r="M95" s="12"/>
    </row>
    <row r="96" spans="1:13" ht="12" outlineLevel="2" x14ac:dyDescent="0.25">
      <c r="A96" s="147"/>
      <c r="B96" s="14"/>
      <c r="C96" s="19" t="s">
        <v>206</v>
      </c>
      <c r="D96" s="33" t="s">
        <v>210</v>
      </c>
      <c r="E96" s="13" t="s">
        <v>141</v>
      </c>
      <c r="F96" s="13"/>
      <c r="G96" s="20"/>
      <c r="H96" s="20">
        <f>110*$M$3</f>
        <v>121</v>
      </c>
      <c r="I96" s="20">
        <f>37*$M$3</f>
        <v>40.700000000000003</v>
      </c>
      <c r="J96" s="20"/>
      <c r="K96" s="20">
        <f t="shared" si="11"/>
        <v>0</v>
      </c>
      <c r="L96" s="20">
        <f t="shared" si="9"/>
        <v>0</v>
      </c>
      <c r="M96" s="12"/>
    </row>
    <row r="97" spans="1:13" ht="14.25" customHeight="1" x14ac:dyDescent="0.25">
      <c r="A97" s="147"/>
      <c r="B97" s="17">
        <v>5</v>
      </c>
      <c r="C97" s="18" t="s">
        <v>227</v>
      </c>
      <c r="D97" s="19"/>
      <c r="E97" s="13"/>
      <c r="F97" s="13"/>
      <c r="G97" s="20"/>
      <c r="H97" s="20"/>
      <c r="I97" s="20"/>
      <c r="J97" s="20"/>
      <c r="K97" s="20"/>
      <c r="L97" s="20"/>
      <c r="M97" s="12"/>
    </row>
    <row r="98" spans="1:13" ht="14.25" customHeight="1" outlineLevel="1" x14ac:dyDescent="0.25">
      <c r="A98" s="147"/>
      <c r="B98" s="14">
        <v>5.0999999999999996</v>
      </c>
      <c r="C98" s="19" t="s">
        <v>228</v>
      </c>
      <c r="D98" s="19"/>
      <c r="E98" s="13"/>
      <c r="F98" s="13"/>
      <c r="G98" s="20"/>
      <c r="H98" s="20"/>
      <c r="I98" s="20"/>
      <c r="J98" s="20"/>
      <c r="K98" s="20"/>
      <c r="L98" s="20"/>
      <c r="M98" s="12"/>
    </row>
    <row r="99" spans="1:13" ht="14.25" customHeight="1" outlineLevel="2" x14ac:dyDescent="0.25">
      <c r="A99" s="147"/>
      <c r="B99" s="14"/>
      <c r="C99" s="19" t="s">
        <v>229</v>
      </c>
      <c r="D99" s="19" t="s">
        <v>230</v>
      </c>
      <c r="E99" s="13" t="s">
        <v>141</v>
      </c>
      <c r="F99" s="13">
        <v>20</v>
      </c>
      <c r="G99" s="20"/>
      <c r="H99" s="20">
        <f>20*$M$3</f>
        <v>22</v>
      </c>
      <c r="I99" s="20">
        <f>10*$M$3</f>
        <v>11</v>
      </c>
      <c r="J99" s="20"/>
      <c r="K99" s="20">
        <f>F99*H99</f>
        <v>440</v>
      </c>
      <c r="L99" s="20">
        <f t="shared" si="9"/>
        <v>220</v>
      </c>
      <c r="M99" s="12"/>
    </row>
    <row r="100" spans="1:13" ht="14.25" customHeight="1" outlineLevel="2" x14ac:dyDescent="0.25">
      <c r="A100" s="147"/>
      <c r="B100" s="14"/>
      <c r="C100" s="19" t="s">
        <v>229</v>
      </c>
      <c r="D100" s="19" t="s">
        <v>231</v>
      </c>
      <c r="E100" s="13" t="s">
        <v>141</v>
      </c>
      <c r="F100" s="13"/>
      <c r="G100" s="20"/>
      <c r="H100" s="20">
        <f>24*$M$3</f>
        <v>26.4</v>
      </c>
      <c r="I100" s="20">
        <f>12*$M$3</f>
        <v>13.2</v>
      </c>
      <c r="J100" s="20"/>
      <c r="K100" s="20">
        <f>F100*H100</f>
        <v>0</v>
      </c>
      <c r="L100" s="20">
        <f t="shared" si="9"/>
        <v>0</v>
      </c>
      <c r="M100" s="12"/>
    </row>
    <row r="101" spans="1:13" ht="14.25" customHeight="1" outlineLevel="2" x14ac:dyDescent="0.25">
      <c r="A101" s="147"/>
      <c r="B101" s="14"/>
      <c r="C101" s="19" t="s">
        <v>232</v>
      </c>
      <c r="D101" s="19" t="s">
        <v>233</v>
      </c>
      <c r="E101" s="13" t="s">
        <v>141</v>
      </c>
      <c r="F101" s="13"/>
      <c r="G101" s="20"/>
      <c r="H101" s="20">
        <f>3.8*$M$3</f>
        <v>4.18</v>
      </c>
      <c r="I101" s="20">
        <f>5*$M$3</f>
        <v>5.5</v>
      </c>
      <c r="J101" s="20"/>
      <c r="K101" s="20">
        <f>F101*H101</f>
        <v>0</v>
      </c>
      <c r="L101" s="20">
        <f t="shared" si="9"/>
        <v>0</v>
      </c>
      <c r="M101" s="12"/>
    </row>
    <row r="102" spans="1:13" ht="14.25" customHeight="1" outlineLevel="2" x14ac:dyDescent="0.25">
      <c r="A102" s="147"/>
      <c r="B102" s="14"/>
      <c r="C102" s="19" t="s">
        <v>232</v>
      </c>
      <c r="D102" s="19" t="s">
        <v>234</v>
      </c>
      <c r="E102" s="13" t="s">
        <v>141</v>
      </c>
      <c r="F102" s="13"/>
      <c r="G102" s="20"/>
      <c r="H102" s="20">
        <f>15*$M$3</f>
        <v>16.5</v>
      </c>
      <c r="I102" s="20">
        <f>5*$M$3</f>
        <v>5.5</v>
      </c>
      <c r="J102" s="20"/>
      <c r="K102" s="20">
        <f>F102*H102</f>
        <v>0</v>
      </c>
      <c r="L102" s="20">
        <f t="shared" si="9"/>
        <v>0</v>
      </c>
      <c r="M102" s="12"/>
    </row>
    <row r="103" spans="1:13" ht="26.55" customHeight="1" outlineLevel="2" x14ac:dyDescent="0.25">
      <c r="A103" s="147"/>
      <c r="B103" s="14"/>
      <c r="C103" s="19" t="s">
        <v>235</v>
      </c>
      <c r="D103" s="21" t="s">
        <v>321</v>
      </c>
      <c r="E103" s="13" t="s">
        <v>237</v>
      </c>
      <c r="F103" s="13">
        <v>4</v>
      </c>
      <c r="G103" s="20"/>
      <c r="H103" s="20">
        <f>65*$M$3</f>
        <v>71.5</v>
      </c>
      <c r="I103" s="20">
        <f>25*$M$3</f>
        <v>27.5</v>
      </c>
      <c r="J103" s="20"/>
      <c r="K103" s="20">
        <f>F103*H103</f>
        <v>286</v>
      </c>
      <c r="L103" s="20">
        <f t="shared" si="9"/>
        <v>110</v>
      </c>
      <c r="M103" s="12"/>
    </row>
    <row r="104" spans="1:13" ht="12" outlineLevel="1" x14ac:dyDescent="0.25">
      <c r="A104" s="147"/>
      <c r="B104" s="14">
        <v>5.2</v>
      </c>
      <c r="C104" s="19" t="s">
        <v>238</v>
      </c>
      <c r="D104" s="21"/>
      <c r="E104" s="13" t="s">
        <v>239</v>
      </c>
      <c r="F104" s="13"/>
      <c r="G104" s="20"/>
      <c r="H104" s="20"/>
      <c r="I104" s="20">
        <f>7000*$M$3</f>
        <v>7700</v>
      </c>
      <c r="J104" s="20"/>
      <c r="K104" s="20"/>
      <c r="L104" s="20">
        <f t="shared" si="9"/>
        <v>0</v>
      </c>
      <c r="M104" s="12"/>
    </row>
    <row r="105" spans="1:13" ht="14.25" customHeight="1" outlineLevel="1" x14ac:dyDescent="0.25">
      <c r="A105" s="147"/>
      <c r="B105" s="14">
        <v>5.3</v>
      </c>
      <c r="C105" s="19" t="s">
        <v>240</v>
      </c>
      <c r="D105" s="19" t="s">
        <v>241</v>
      </c>
      <c r="E105" s="13" t="s">
        <v>50</v>
      </c>
      <c r="F105" s="13"/>
      <c r="G105" s="20"/>
      <c r="H105" s="20"/>
      <c r="I105" s="20">
        <f>500*$M$3</f>
        <v>550</v>
      </c>
      <c r="J105" s="20"/>
      <c r="K105" s="20"/>
      <c r="L105" s="20">
        <f t="shared" si="9"/>
        <v>0</v>
      </c>
      <c r="M105" s="12"/>
    </row>
    <row r="106" spans="1:13" ht="14.25" customHeight="1" x14ac:dyDescent="0.25">
      <c r="A106" s="147"/>
      <c r="B106" s="17">
        <v>6</v>
      </c>
      <c r="C106" s="18" t="s">
        <v>256</v>
      </c>
      <c r="D106" s="19"/>
      <c r="E106" s="13"/>
      <c r="F106" s="13"/>
      <c r="G106" s="20"/>
      <c r="H106" s="20"/>
      <c r="I106" s="20"/>
      <c r="J106" s="20"/>
      <c r="K106" s="20"/>
      <c r="L106" s="20"/>
      <c r="M106" s="12"/>
    </row>
    <row r="107" spans="1:13" ht="14.25" customHeight="1" outlineLevel="1" x14ac:dyDescent="0.25">
      <c r="A107" s="147"/>
      <c r="B107" s="14">
        <v>6.1</v>
      </c>
      <c r="C107" s="19" t="s">
        <v>322</v>
      </c>
      <c r="D107" s="19" t="s">
        <v>323</v>
      </c>
      <c r="E107" s="13" t="s">
        <v>141</v>
      </c>
      <c r="F107" s="13"/>
      <c r="G107" s="20"/>
      <c r="H107" s="20"/>
      <c r="I107" s="20">
        <f>120*$M$3</f>
        <v>132</v>
      </c>
      <c r="J107" s="20"/>
      <c r="K107" s="20"/>
      <c r="L107" s="20">
        <f t="shared" si="9"/>
        <v>0</v>
      </c>
      <c r="M107" s="12"/>
    </row>
    <row r="108" spans="1:13" ht="14.25" customHeight="1" outlineLevel="1" x14ac:dyDescent="0.25">
      <c r="A108" s="147"/>
      <c r="B108" s="14">
        <v>6.2</v>
      </c>
      <c r="C108" s="29" t="s">
        <v>324</v>
      </c>
      <c r="D108" s="29"/>
      <c r="E108" s="26" t="s">
        <v>141</v>
      </c>
      <c r="F108" s="26"/>
      <c r="G108" s="28"/>
      <c r="H108" s="28"/>
      <c r="I108" s="28">
        <f>920*$M$3</f>
        <v>1012</v>
      </c>
      <c r="J108" s="20"/>
      <c r="K108" s="20"/>
      <c r="L108" s="20">
        <f t="shared" si="9"/>
        <v>0</v>
      </c>
      <c r="M108" s="12"/>
    </row>
    <row r="109" spans="1:13" ht="14.25" customHeight="1" outlineLevel="1" x14ac:dyDescent="0.25">
      <c r="A109" s="147"/>
      <c r="B109" s="14">
        <v>6.3</v>
      </c>
      <c r="C109" s="29" t="s">
        <v>325</v>
      </c>
      <c r="D109" s="29" t="s">
        <v>326</v>
      </c>
      <c r="E109" s="26" t="s">
        <v>47</v>
      </c>
      <c r="F109" s="26">
        <v>1</v>
      </c>
      <c r="G109" s="28"/>
      <c r="H109" s="28"/>
      <c r="I109" s="28">
        <f>400*$M$3</f>
        <v>440</v>
      </c>
      <c r="J109" s="20"/>
      <c r="K109" s="20"/>
      <c r="L109" s="20">
        <f t="shared" si="9"/>
        <v>440</v>
      </c>
      <c r="M109" s="12"/>
    </row>
    <row r="110" spans="1:13" ht="14.25" customHeight="1" outlineLevel="1" x14ac:dyDescent="0.25">
      <c r="A110" s="147"/>
      <c r="B110" s="14">
        <v>6.4</v>
      </c>
      <c r="C110" s="19" t="s">
        <v>263</v>
      </c>
      <c r="D110" s="19" t="s">
        <v>327</v>
      </c>
      <c r="E110" s="13" t="s">
        <v>141</v>
      </c>
      <c r="F110" s="13"/>
      <c r="G110" s="20"/>
      <c r="H110" s="20"/>
      <c r="I110" s="20">
        <f>90*$M$3</f>
        <v>99</v>
      </c>
      <c r="J110" s="20"/>
      <c r="K110" s="20"/>
      <c r="L110" s="20">
        <f t="shared" si="9"/>
        <v>0</v>
      </c>
      <c r="M110" s="12"/>
    </row>
    <row r="111" spans="1:13" ht="14.25" customHeight="1" x14ac:dyDescent="0.25">
      <c r="A111" s="147"/>
      <c r="B111" s="17">
        <v>7</v>
      </c>
      <c r="C111" s="18" t="s">
        <v>268</v>
      </c>
      <c r="D111" s="19"/>
      <c r="E111" s="13"/>
      <c r="F111" s="13"/>
      <c r="G111" s="20"/>
      <c r="H111" s="20"/>
      <c r="I111" s="20"/>
      <c r="J111" s="20"/>
      <c r="K111" s="20"/>
      <c r="L111" s="20"/>
      <c r="M111" s="12"/>
    </row>
    <row r="112" spans="1:13" ht="14.25" customHeight="1" outlineLevel="1" x14ac:dyDescent="0.25">
      <c r="A112" s="147"/>
      <c r="B112" s="14">
        <v>7.1</v>
      </c>
      <c r="C112" s="29" t="s">
        <v>269</v>
      </c>
      <c r="D112" s="29" t="s">
        <v>270</v>
      </c>
      <c r="E112" s="26" t="s">
        <v>47</v>
      </c>
      <c r="F112" s="26"/>
      <c r="G112" s="28"/>
      <c r="H112" s="28"/>
      <c r="I112" s="28">
        <f>3000*$M$3</f>
        <v>3300</v>
      </c>
      <c r="J112" s="20"/>
      <c r="K112" s="20"/>
      <c r="L112" s="20">
        <f t="shared" si="9"/>
        <v>0</v>
      </c>
      <c r="M112" s="12"/>
    </row>
    <row r="113" spans="1:13" ht="14.25" customHeight="1" outlineLevel="1" x14ac:dyDescent="0.25">
      <c r="A113" s="147"/>
      <c r="B113" s="14">
        <v>7.2</v>
      </c>
      <c r="C113" s="19" t="s">
        <v>271</v>
      </c>
      <c r="D113" s="19"/>
      <c r="E113" s="13" t="s">
        <v>47</v>
      </c>
      <c r="F113" s="13"/>
      <c r="G113" s="20"/>
      <c r="H113" s="20"/>
      <c r="I113" s="20">
        <f>2000*$M$3</f>
        <v>2200</v>
      </c>
      <c r="J113" s="20"/>
      <c r="K113" s="20"/>
      <c r="L113" s="20">
        <f t="shared" si="9"/>
        <v>0</v>
      </c>
      <c r="M113" s="12"/>
    </row>
    <row r="114" spans="1:13" ht="14.25" customHeight="1" outlineLevel="1" x14ac:dyDescent="0.25">
      <c r="A114" s="147"/>
      <c r="B114" s="14">
        <v>7.3</v>
      </c>
      <c r="C114" s="19" t="s">
        <v>272</v>
      </c>
      <c r="D114" s="19"/>
      <c r="E114" s="13" t="s">
        <v>47</v>
      </c>
      <c r="F114" s="13"/>
      <c r="G114" s="20"/>
      <c r="H114" s="20"/>
      <c r="I114" s="20">
        <f>20000*$M$3</f>
        <v>22000</v>
      </c>
      <c r="J114" s="20"/>
      <c r="K114" s="20"/>
      <c r="L114" s="20">
        <f t="shared" si="9"/>
        <v>0</v>
      </c>
      <c r="M114" s="12"/>
    </row>
    <row r="115" spans="1:13" ht="14.25" customHeight="1" outlineLevel="1" x14ac:dyDescent="0.25">
      <c r="A115" s="147"/>
      <c r="B115" s="14">
        <v>7.4</v>
      </c>
      <c r="C115" s="19" t="s">
        <v>273</v>
      </c>
      <c r="D115" s="19"/>
      <c r="E115" s="13" t="s">
        <v>47</v>
      </c>
      <c r="F115" s="13"/>
      <c r="G115" s="20"/>
      <c r="H115" s="20"/>
      <c r="I115" s="20">
        <f>15000*$M$3</f>
        <v>16500</v>
      </c>
      <c r="J115" s="20"/>
      <c r="K115" s="20"/>
      <c r="L115" s="20">
        <f t="shared" si="9"/>
        <v>0</v>
      </c>
      <c r="M115" s="12"/>
    </row>
    <row r="116" spans="1:13" ht="14.25" customHeight="1" outlineLevel="1" x14ac:dyDescent="0.25">
      <c r="A116" s="147"/>
      <c r="B116" s="14">
        <v>7.5</v>
      </c>
      <c r="C116" s="29" t="s">
        <v>274</v>
      </c>
      <c r="D116" s="29" t="s">
        <v>275</v>
      </c>
      <c r="E116" s="26" t="s">
        <v>47</v>
      </c>
      <c r="F116" s="26"/>
      <c r="G116" s="28"/>
      <c r="H116" s="28"/>
      <c r="I116" s="28">
        <f>30000*$M$3</f>
        <v>33000</v>
      </c>
      <c r="J116" s="20"/>
      <c r="K116" s="20"/>
      <c r="L116" s="20">
        <f t="shared" si="9"/>
        <v>0</v>
      </c>
      <c r="M116" s="12" t="s">
        <v>276</v>
      </c>
    </row>
    <row r="117" spans="1:13" ht="14.25" customHeight="1" outlineLevel="1" x14ac:dyDescent="0.25">
      <c r="A117" s="147"/>
      <c r="B117" s="24">
        <v>7.6</v>
      </c>
      <c r="C117" s="29" t="s">
        <v>328</v>
      </c>
      <c r="D117" s="29"/>
      <c r="E117" s="26"/>
      <c r="F117" s="26"/>
      <c r="G117" s="28"/>
      <c r="H117" s="28"/>
      <c r="I117" s="28"/>
      <c r="J117" s="20"/>
      <c r="K117" s="20"/>
      <c r="L117" s="20"/>
      <c r="M117" s="12"/>
    </row>
    <row r="118" spans="1:13" ht="14.25" customHeight="1" outlineLevel="2" x14ac:dyDescent="0.25">
      <c r="A118" s="147"/>
      <c r="B118" s="24"/>
      <c r="C118" s="29" t="s">
        <v>328</v>
      </c>
      <c r="D118" s="29" t="s">
        <v>329</v>
      </c>
      <c r="E118" s="26" t="s">
        <v>47</v>
      </c>
      <c r="F118" s="26">
        <v>1</v>
      </c>
      <c r="G118" s="28"/>
      <c r="H118" s="28"/>
      <c r="I118" s="28">
        <f>3000*$M$3</f>
        <v>3300</v>
      </c>
      <c r="J118" s="20"/>
      <c r="K118" s="20"/>
      <c r="L118" s="20">
        <f t="shared" si="9"/>
        <v>3300</v>
      </c>
      <c r="M118" s="12"/>
    </row>
    <row r="119" spans="1:13" ht="14.25" customHeight="1" outlineLevel="2" x14ac:dyDescent="0.25">
      <c r="A119" s="147"/>
      <c r="B119" s="24"/>
      <c r="C119" s="29" t="s">
        <v>328</v>
      </c>
      <c r="D119" s="29" t="s">
        <v>330</v>
      </c>
      <c r="E119" s="26" t="s">
        <v>47</v>
      </c>
      <c r="F119" s="26"/>
      <c r="G119" s="28"/>
      <c r="H119" s="28"/>
      <c r="I119" s="28">
        <f>4000*$M$3</f>
        <v>4400</v>
      </c>
      <c r="J119" s="20"/>
      <c r="K119" s="20"/>
      <c r="L119" s="20">
        <f t="shared" si="9"/>
        <v>0</v>
      </c>
      <c r="M119" s="12"/>
    </row>
    <row r="120" spans="1:13" ht="14.25" customHeight="1" x14ac:dyDescent="0.25">
      <c r="A120" s="147"/>
      <c r="B120" s="17">
        <v>8</v>
      </c>
      <c r="C120" s="18" t="s">
        <v>280</v>
      </c>
      <c r="D120" s="19"/>
      <c r="E120" s="13"/>
      <c r="F120" s="13"/>
      <c r="G120" s="20"/>
      <c r="H120" s="20"/>
      <c r="I120" s="20"/>
      <c r="J120" s="20"/>
      <c r="K120" s="20"/>
      <c r="L120" s="20"/>
      <c r="M120" s="12"/>
    </row>
    <row r="121" spans="1:13" ht="14.25" customHeight="1" outlineLevel="1" x14ac:dyDescent="0.25">
      <c r="A121" s="147"/>
      <c r="B121" s="14">
        <v>8.1</v>
      </c>
      <c r="C121" s="19" t="s">
        <v>281</v>
      </c>
      <c r="D121" s="19"/>
      <c r="E121" s="13" t="s">
        <v>141</v>
      </c>
      <c r="F121" s="13">
        <v>5</v>
      </c>
      <c r="G121" s="20"/>
      <c r="H121" s="20"/>
      <c r="I121" s="20">
        <f>230*$M$3</f>
        <v>253</v>
      </c>
      <c r="J121" s="20"/>
      <c r="K121" s="20"/>
      <c r="L121" s="20">
        <f t="shared" si="9"/>
        <v>1265</v>
      </c>
      <c r="M121" s="12"/>
    </row>
    <row r="122" spans="1:13" ht="14.25" customHeight="1" outlineLevel="1" x14ac:dyDescent="0.25">
      <c r="A122" s="147"/>
      <c r="B122" s="14">
        <v>8.1999999999999993</v>
      </c>
      <c r="C122" s="19" t="s">
        <v>282</v>
      </c>
      <c r="D122" s="19" t="s">
        <v>283</v>
      </c>
      <c r="E122" s="13" t="s">
        <v>141</v>
      </c>
      <c r="F122" s="13"/>
      <c r="G122" s="20"/>
      <c r="H122" s="20"/>
      <c r="I122" s="20">
        <f>500*$M$3</f>
        <v>550</v>
      </c>
      <c r="J122" s="20"/>
      <c r="K122" s="20"/>
      <c r="L122" s="20">
        <f t="shared" si="9"/>
        <v>0</v>
      </c>
      <c r="M122" s="12"/>
    </row>
    <row r="123" spans="1:13" ht="14.25" customHeight="1" outlineLevel="1" x14ac:dyDescent="0.25">
      <c r="A123" s="147"/>
      <c r="B123" s="14">
        <v>8.3000000000000007</v>
      </c>
      <c r="C123" s="19" t="s">
        <v>285</v>
      </c>
      <c r="D123" s="19" t="s">
        <v>331</v>
      </c>
      <c r="E123" s="13" t="s">
        <v>141</v>
      </c>
      <c r="F123" s="13"/>
      <c r="G123" s="20"/>
      <c r="H123" s="20"/>
      <c r="I123" s="20">
        <f>40*$M$3</f>
        <v>44</v>
      </c>
      <c r="J123" s="20"/>
      <c r="K123" s="20"/>
      <c r="L123" s="20">
        <f t="shared" si="9"/>
        <v>0</v>
      </c>
      <c r="M123" s="12"/>
    </row>
    <row r="124" spans="1:13" ht="14.25" customHeight="1" x14ac:dyDescent="0.25">
      <c r="A124" s="147"/>
      <c r="B124" s="17">
        <v>9</v>
      </c>
      <c r="C124" s="18" t="s">
        <v>332</v>
      </c>
      <c r="D124" s="19" t="s">
        <v>333</v>
      </c>
      <c r="E124" s="13" t="s">
        <v>267</v>
      </c>
      <c r="F124" s="13"/>
      <c r="G124" s="20"/>
      <c r="H124" s="20"/>
      <c r="I124" s="20">
        <f>40*$M$3</f>
        <v>44</v>
      </c>
      <c r="J124" s="20"/>
      <c r="K124" s="20"/>
      <c r="L124" s="20">
        <f t="shared" si="9"/>
        <v>0</v>
      </c>
      <c r="M124" s="12"/>
    </row>
    <row r="125" spans="1:13" ht="14.25" customHeight="1" x14ac:dyDescent="0.25">
      <c r="A125" s="147"/>
      <c r="B125" s="17">
        <v>10</v>
      </c>
      <c r="C125" s="18" t="s">
        <v>334</v>
      </c>
      <c r="D125" s="19" t="s">
        <v>335</v>
      </c>
      <c r="E125" s="13" t="s">
        <v>267</v>
      </c>
      <c r="F125" s="13"/>
      <c r="G125" s="20"/>
      <c r="H125" s="20"/>
      <c r="I125" s="20">
        <f>220*$M$3</f>
        <v>242</v>
      </c>
      <c r="J125" s="20"/>
      <c r="K125" s="20"/>
      <c r="L125" s="20">
        <f t="shared" si="9"/>
        <v>0</v>
      </c>
      <c r="M125" s="12"/>
    </row>
    <row r="126" spans="1:13" ht="14.25" customHeight="1" x14ac:dyDescent="0.25">
      <c r="A126" s="147"/>
      <c r="B126" s="17">
        <v>11</v>
      </c>
      <c r="C126" s="18" t="s">
        <v>336</v>
      </c>
      <c r="D126" s="19"/>
      <c r="E126" s="13"/>
      <c r="F126" s="13"/>
      <c r="G126" s="20"/>
      <c r="H126" s="20"/>
      <c r="I126" s="20"/>
      <c r="J126" s="20"/>
      <c r="K126" s="20"/>
      <c r="L126" s="20"/>
      <c r="M126" s="12"/>
    </row>
    <row r="127" spans="1:13" ht="14.25" customHeight="1" outlineLevel="1" x14ac:dyDescent="0.25">
      <c r="A127" s="147"/>
      <c r="B127" s="14">
        <v>11.1</v>
      </c>
      <c r="C127" s="19" t="s">
        <v>297</v>
      </c>
      <c r="D127" s="19" t="s">
        <v>298</v>
      </c>
      <c r="E127" s="13" t="s">
        <v>137</v>
      </c>
      <c r="F127" s="13">
        <v>1</v>
      </c>
      <c r="G127" s="20"/>
      <c r="H127" s="20"/>
      <c r="I127" s="20">
        <f>5000*$M$3</f>
        <v>5500</v>
      </c>
      <c r="J127" s="20"/>
      <c r="K127" s="20"/>
      <c r="L127" s="20">
        <f t="shared" si="9"/>
        <v>5500</v>
      </c>
      <c r="M127" s="12"/>
    </row>
    <row r="128" spans="1:13" ht="14.25" customHeight="1" outlineLevel="1" x14ac:dyDescent="0.25">
      <c r="A128" s="147"/>
      <c r="B128" s="14">
        <v>11.2</v>
      </c>
      <c r="C128" s="19" t="s">
        <v>297</v>
      </c>
      <c r="D128" s="19" t="s">
        <v>299</v>
      </c>
      <c r="E128" s="13" t="s">
        <v>137</v>
      </c>
      <c r="F128" s="13"/>
      <c r="G128" s="20"/>
      <c r="H128" s="20"/>
      <c r="I128" s="20">
        <f>50000*$M$3</f>
        <v>55000</v>
      </c>
      <c r="J128" s="20"/>
      <c r="K128" s="20"/>
      <c r="L128" s="20">
        <f t="shared" si="9"/>
        <v>0</v>
      </c>
      <c r="M128" s="12"/>
    </row>
    <row r="129" spans="1:13" ht="13.95" customHeight="1" x14ac:dyDescent="0.25">
      <c r="A129" s="147"/>
      <c r="B129" s="100">
        <v>11.2</v>
      </c>
      <c r="C129" s="19" t="s">
        <v>297</v>
      </c>
      <c r="D129" s="19" t="s">
        <v>299</v>
      </c>
      <c r="E129" s="99" t="s">
        <v>137</v>
      </c>
      <c r="F129" s="99"/>
      <c r="G129" s="20"/>
      <c r="H129" s="20"/>
      <c r="I129" s="20">
        <f>50000*$M$3</f>
        <v>55000.000000000007</v>
      </c>
      <c r="J129" s="36">
        <f>SUM(J5:J128)</f>
        <v>186400</v>
      </c>
      <c r="K129" s="36">
        <f>SUM(K5:K128)</f>
        <v>3505.04</v>
      </c>
      <c r="L129" s="36">
        <f>SUM(L5:L128)*1.1</f>
        <v>17327.2</v>
      </c>
      <c r="M129" s="12"/>
    </row>
    <row r="130" spans="1:13" ht="14.25" customHeight="1" x14ac:dyDescent="0.25">
      <c r="A130" s="131" t="s">
        <v>301</v>
      </c>
      <c r="B130" s="17">
        <v>12</v>
      </c>
      <c r="C130" s="18" t="s">
        <v>302</v>
      </c>
      <c r="D130" s="143"/>
      <c r="E130" s="144"/>
      <c r="F130" s="144"/>
      <c r="G130" s="144"/>
      <c r="H130" s="144"/>
      <c r="I130" s="144"/>
      <c r="J130" s="144"/>
      <c r="K130" s="144"/>
      <c r="L130" s="145"/>
      <c r="M130" s="12"/>
    </row>
    <row r="131" spans="1:13" ht="14.25" customHeight="1" outlineLevel="1" x14ac:dyDescent="0.25">
      <c r="A131" s="132"/>
      <c r="B131" s="14">
        <v>12.1</v>
      </c>
      <c r="C131" s="19" t="s">
        <v>303</v>
      </c>
      <c r="D131" s="19"/>
      <c r="E131" s="13" t="s">
        <v>337</v>
      </c>
      <c r="F131" s="13"/>
      <c r="G131" s="20"/>
      <c r="H131" s="20"/>
      <c r="I131" s="44">
        <v>1.4999999999999999E-2</v>
      </c>
      <c r="J131" s="20"/>
      <c r="K131" s="20"/>
      <c r="L131" s="20">
        <f>I131*F131</f>
        <v>0</v>
      </c>
      <c r="M131" s="12"/>
    </row>
    <row r="132" spans="1:13" ht="13.95" customHeight="1" x14ac:dyDescent="0.25">
      <c r="A132" s="131" t="s">
        <v>14</v>
      </c>
      <c r="B132" s="17">
        <v>13</v>
      </c>
      <c r="C132" s="45" t="s">
        <v>14</v>
      </c>
      <c r="D132" s="19"/>
      <c r="E132" s="13"/>
      <c r="F132" s="13"/>
      <c r="G132" s="20"/>
      <c r="H132" s="20"/>
      <c r="I132" s="20"/>
      <c r="J132" s="20"/>
      <c r="K132" s="20"/>
      <c r="L132" s="20"/>
      <c r="M132" s="12"/>
    </row>
    <row r="133" spans="1:13" ht="13.95" customHeight="1" outlineLevel="1" x14ac:dyDescent="0.25">
      <c r="A133" s="132"/>
      <c r="B133" s="14">
        <v>13.1</v>
      </c>
      <c r="C133" s="46" t="s">
        <v>306</v>
      </c>
      <c r="D133" s="19"/>
      <c r="E133" s="13" t="s">
        <v>137</v>
      </c>
      <c r="F133" s="13"/>
      <c r="G133" s="20"/>
      <c r="H133" s="20"/>
      <c r="I133" s="20">
        <v>50000</v>
      </c>
      <c r="J133" s="20"/>
      <c r="K133" s="20"/>
      <c r="L133" s="20">
        <f>F133*I133</f>
        <v>0</v>
      </c>
      <c r="M133" s="12"/>
    </row>
    <row r="134" spans="1:13" ht="13.95" customHeight="1" outlineLevel="1" x14ac:dyDescent="0.25">
      <c r="A134" s="132"/>
      <c r="B134" s="14">
        <v>13.2</v>
      </c>
      <c r="C134" s="46" t="s">
        <v>307</v>
      </c>
      <c r="D134" s="19"/>
      <c r="E134" s="13" t="s">
        <v>137</v>
      </c>
      <c r="F134" s="13"/>
      <c r="G134" s="20"/>
      <c r="H134" s="20"/>
      <c r="I134" s="20">
        <v>50000</v>
      </c>
      <c r="J134" s="20"/>
      <c r="K134" s="20"/>
      <c r="L134" s="20">
        <f>F134*I134</f>
        <v>0</v>
      </c>
      <c r="M134" s="12"/>
    </row>
    <row r="135" spans="1:13" ht="13.95" customHeight="1" outlineLevel="1" x14ac:dyDescent="0.25">
      <c r="A135" s="133"/>
      <c r="B135" s="14">
        <v>13.3</v>
      </c>
      <c r="C135" s="46" t="s">
        <v>308</v>
      </c>
      <c r="D135" s="19"/>
      <c r="E135" s="13" t="s">
        <v>137</v>
      </c>
      <c r="F135" s="13"/>
      <c r="G135" s="20"/>
      <c r="H135" s="20"/>
      <c r="I135" s="20">
        <v>10000</v>
      </c>
      <c r="J135" s="20"/>
      <c r="K135" s="20"/>
      <c r="L135" s="20">
        <f>F135*I135</f>
        <v>0</v>
      </c>
      <c r="M135" s="12"/>
    </row>
    <row r="136" spans="1:13" ht="13.5" customHeight="1" x14ac:dyDescent="0.25">
      <c r="A136" s="131" t="s">
        <v>11</v>
      </c>
      <c r="B136" s="17">
        <v>14</v>
      </c>
      <c r="C136" s="37" t="s">
        <v>11</v>
      </c>
      <c r="D136" s="19"/>
      <c r="E136" s="13"/>
      <c r="F136" s="13"/>
      <c r="G136" s="20"/>
      <c r="H136" s="20"/>
      <c r="I136" s="20"/>
      <c r="J136" s="20"/>
      <c r="K136" s="20"/>
      <c r="L136" s="20"/>
      <c r="M136" s="12"/>
    </row>
    <row r="137" spans="1:13" ht="12" outlineLevel="1" x14ac:dyDescent="0.25">
      <c r="A137" s="133"/>
      <c r="B137" s="14">
        <v>14.1</v>
      </c>
      <c r="C137" s="19"/>
      <c r="D137" s="19"/>
      <c r="E137" s="13"/>
      <c r="F137" s="13"/>
      <c r="G137" s="20"/>
      <c r="H137" s="20"/>
      <c r="I137" s="20"/>
      <c r="J137" s="20"/>
      <c r="K137" s="20"/>
      <c r="L137" s="20">
        <f>F137*I137</f>
        <v>0</v>
      </c>
      <c r="M137" s="12"/>
    </row>
  </sheetData>
  <mergeCells count="14">
    <mergeCell ref="A1:L1"/>
    <mergeCell ref="G2:I2"/>
    <mergeCell ref="J2:L2"/>
    <mergeCell ref="D130:L130"/>
    <mergeCell ref="A2:A3"/>
    <mergeCell ref="A4:A129"/>
    <mergeCell ref="A130:A131"/>
    <mergeCell ref="E2:E3"/>
    <mergeCell ref="F2:F3"/>
    <mergeCell ref="A132:A135"/>
    <mergeCell ref="A136:A137"/>
    <mergeCell ref="B2:B3"/>
    <mergeCell ref="C2:C3"/>
    <mergeCell ref="D2:D3"/>
  </mergeCells>
  <phoneticPr fontId="23" type="noConversion"/>
  <conditionalFormatting sqref="E88">
    <cfRule type="cellIs" dxfId="0" priority="1" stopIfTrue="1" operator="equal">
      <formula>0</formula>
    </cfRule>
  </conditionalFormatting>
  <conditionalFormatting sqref="J2:L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{C8D347F1-BAF7-4E5C-9887-E08E54A2A29C}</x14:id>
        </ext>
      </extLst>
    </cfRule>
  </conditionalFormatting>
  <pageMargins left="0.75" right="0.75" top="1" bottom="1" header="0.51" footer="0.51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D347F1-BAF7-4E5C-9887-E08E54A2A29C}">
            <x14:dataBar minLength="0" maxLength="100" negativeBarColorSameAsPositive="1" axisPosition="none">
              <x14:cfvo type="min"/>
              <x14:cfvo type="max"/>
            </x14:dataBar>
          </x14:cfRule>
          <xm:sqref>J2:L3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3"/>
  <sheetViews>
    <sheetView workbookViewId="0">
      <pane ySplit="3" topLeftCell="A49" activePane="bottomLeft" state="frozen"/>
      <selection pane="bottomLeft" activeCell="M58" sqref="M58"/>
    </sheetView>
  </sheetViews>
  <sheetFormatPr defaultColWidth="8.21875" defaultRowHeight="11.4" outlineLevelRow="2" x14ac:dyDescent="0.25"/>
  <cols>
    <col min="1" max="1" width="16.5546875" style="7" customWidth="1"/>
    <col min="2" max="2" width="5" style="8" customWidth="1"/>
    <col min="3" max="3" width="17.5546875" style="9" customWidth="1"/>
    <col min="4" max="4" width="39.44140625" style="9" customWidth="1"/>
    <col min="5" max="5" width="4.109375" style="10" customWidth="1"/>
    <col min="6" max="6" width="8.109375" style="10" customWidth="1"/>
    <col min="7" max="8" width="10" style="11" customWidth="1"/>
    <col min="9" max="9" width="7.6640625" style="11" customWidth="1"/>
    <col min="10" max="10" width="11.44140625" style="11" customWidth="1"/>
    <col min="11" max="11" width="11" style="11" customWidth="1"/>
    <col min="12" max="12" width="9.77734375" style="11" customWidth="1"/>
    <col min="13" max="13" width="11.77734375" style="7" customWidth="1"/>
    <col min="14" max="14" width="10.88671875" style="7" customWidth="1"/>
    <col min="15" max="256" width="8.21875" style="7"/>
    <col min="257" max="257" width="16.5546875" style="7" customWidth="1"/>
    <col min="258" max="258" width="5" style="7" customWidth="1"/>
    <col min="259" max="259" width="17.5546875" style="7" customWidth="1"/>
    <col min="260" max="260" width="34.21875" style="7" customWidth="1"/>
    <col min="261" max="261" width="4.109375" style="7" customWidth="1"/>
    <col min="262" max="262" width="8.109375" style="7" customWidth="1"/>
    <col min="263" max="264" width="10" style="7" customWidth="1"/>
    <col min="265" max="265" width="7.6640625" style="7" customWidth="1"/>
    <col min="266" max="268" width="9.77734375" style="7" customWidth="1"/>
    <col min="269" max="269" width="8.21875" style="7"/>
    <col min="270" max="270" width="10.88671875" style="7" customWidth="1"/>
    <col min="271" max="512" width="8.21875" style="7"/>
    <col min="513" max="513" width="16.5546875" style="7" customWidth="1"/>
    <col min="514" max="514" width="5" style="7" customWidth="1"/>
    <col min="515" max="515" width="17.5546875" style="7" customWidth="1"/>
    <col min="516" max="516" width="34.21875" style="7" customWidth="1"/>
    <col min="517" max="517" width="4.109375" style="7" customWidth="1"/>
    <col min="518" max="518" width="8.109375" style="7" customWidth="1"/>
    <col min="519" max="520" width="10" style="7" customWidth="1"/>
    <col min="521" max="521" width="7.6640625" style="7" customWidth="1"/>
    <col min="522" max="524" width="9.77734375" style="7" customWidth="1"/>
    <col min="525" max="525" width="8.21875" style="7"/>
    <col min="526" max="526" width="10.88671875" style="7" customWidth="1"/>
    <col min="527" max="768" width="8.21875" style="7"/>
    <col min="769" max="769" width="16.5546875" style="7" customWidth="1"/>
    <col min="770" max="770" width="5" style="7" customWidth="1"/>
    <col min="771" max="771" width="17.5546875" style="7" customWidth="1"/>
    <col min="772" max="772" width="34.21875" style="7" customWidth="1"/>
    <col min="773" max="773" width="4.109375" style="7" customWidth="1"/>
    <col min="774" max="774" width="8.109375" style="7" customWidth="1"/>
    <col min="775" max="776" width="10" style="7" customWidth="1"/>
    <col min="777" max="777" width="7.6640625" style="7" customWidth="1"/>
    <col min="778" max="780" width="9.77734375" style="7" customWidth="1"/>
    <col min="781" max="781" width="8.21875" style="7"/>
    <col min="782" max="782" width="10.88671875" style="7" customWidth="1"/>
    <col min="783" max="1024" width="8.21875" style="7"/>
    <col min="1025" max="1025" width="16.5546875" style="7" customWidth="1"/>
    <col min="1026" max="1026" width="5" style="7" customWidth="1"/>
    <col min="1027" max="1027" width="17.5546875" style="7" customWidth="1"/>
    <col min="1028" max="1028" width="34.21875" style="7" customWidth="1"/>
    <col min="1029" max="1029" width="4.109375" style="7" customWidth="1"/>
    <col min="1030" max="1030" width="8.109375" style="7" customWidth="1"/>
    <col min="1031" max="1032" width="10" style="7" customWidth="1"/>
    <col min="1033" max="1033" width="7.6640625" style="7" customWidth="1"/>
    <col min="1034" max="1036" width="9.77734375" style="7" customWidth="1"/>
    <col min="1037" max="1037" width="8.21875" style="7"/>
    <col min="1038" max="1038" width="10.88671875" style="7" customWidth="1"/>
    <col min="1039" max="1280" width="8.21875" style="7"/>
    <col min="1281" max="1281" width="16.5546875" style="7" customWidth="1"/>
    <col min="1282" max="1282" width="5" style="7" customWidth="1"/>
    <col min="1283" max="1283" width="17.5546875" style="7" customWidth="1"/>
    <col min="1284" max="1284" width="34.21875" style="7" customWidth="1"/>
    <col min="1285" max="1285" width="4.109375" style="7" customWidth="1"/>
    <col min="1286" max="1286" width="8.109375" style="7" customWidth="1"/>
    <col min="1287" max="1288" width="10" style="7" customWidth="1"/>
    <col min="1289" max="1289" width="7.6640625" style="7" customWidth="1"/>
    <col min="1290" max="1292" width="9.77734375" style="7" customWidth="1"/>
    <col min="1293" max="1293" width="8.21875" style="7"/>
    <col min="1294" max="1294" width="10.88671875" style="7" customWidth="1"/>
    <col min="1295" max="1536" width="8.21875" style="7"/>
    <col min="1537" max="1537" width="16.5546875" style="7" customWidth="1"/>
    <col min="1538" max="1538" width="5" style="7" customWidth="1"/>
    <col min="1539" max="1539" width="17.5546875" style="7" customWidth="1"/>
    <col min="1540" max="1540" width="34.21875" style="7" customWidth="1"/>
    <col min="1541" max="1541" width="4.109375" style="7" customWidth="1"/>
    <col min="1542" max="1542" width="8.109375" style="7" customWidth="1"/>
    <col min="1543" max="1544" width="10" style="7" customWidth="1"/>
    <col min="1545" max="1545" width="7.6640625" style="7" customWidth="1"/>
    <col min="1546" max="1548" width="9.77734375" style="7" customWidth="1"/>
    <col min="1549" max="1549" width="8.21875" style="7"/>
    <col min="1550" max="1550" width="10.88671875" style="7" customWidth="1"/>
    <col min="1551" max="1792" width="8.21875" style="7"/>
    <col min="1793" max="1793" width="16.5546875" style="7" customWidth="1"/>
    <col min="1794" max="1794" width="5" style="7" customWidth="1"/>
    <col min="1795" max="1795" width="17.5546875" style="7" customWidth="1"/>
    <col min="1796" max="1796" width="34.21875" style="7" customWidth="1"/>
    <col min="1797" max="1797" width="4.109375" style="7" customWidth="1"/>
    <col min="1798" max="1798" width="8.109375" style="7" customWidth="1"/>
    <col min="1799" max="1800" width="10" style="7" customWidth="1"/>
    <col min="1801" max="1801" width="7.6640625" style="7" customWidth="1"/>
    <col min="1802" max="1804" width="9.77734375" style="7" customWidth="1"/>
    <col min="1805" max="1805" width="8.21875" style="7"/>
    <col min="1806" max="1806" width="10.88671875" style="7" customWidth="1"/>
    <col min="1807" max="2048" width="8.21875" style="7"/>
    <col min="2049" max="2049" width="16.5546875" style="7" customWidth="1"/>
    <col min="2050" max="2050" width="5" style="7" customWidth="1"/>
    <col min="2051" max="2051" width="17.5546875" style="7" customWidth="1"/>
    <col min="2052" max="2052" width="34.21875" style="7" customWidth="1"/>
    <col min="2053" max="2053" width="4.109375" style="7" customWidth="1"/>
    <col min="2054" max="2054" width="8.109375" style="7" customWidth="1"/>
    <col min="2055" max="2056" width="10" style="7" customWidth="1"/>
    <col min="2057" max="2057" width="7.6640625" style="7" customWidth="1"/>
    <col min="2058" max="2060" width="9.77734375" style="7" customWidth="1"/>
    <col min="2061" max="2061" width="8.21875" style="7"/>
    <col min="2062" max="2062" width="10.88671875" style="7" customWidth="1"/>
    <col min="2063" max="2304" width="8.21875" style="7"/>
    <col min="2305" max="2305" width="16.5546875" style="7" customWidth="1"/>
    <col min="2306" max="2306" width="5" style="7" customWidth="1"/>
    <col min="2307" max="2307" width="17.5546875" style="7" customWidth="1"/>
    <col min="2308" max="2308" width="34.21875" style="7" customWidth="1"/>
    <col min="2309" max="2309" width="4.109375" style="7" customWidth="1"/>
    <col min="2310" max="2310" width="8.109375" style="7" customWidth="1"/>
    <col min="2311" max="2312" width="10" style="7" customWidth="1"/>
    <col min="2313" max="2313" width="7.6640625" style="7" customWidth="1"/>
    <col min="2314" max="2316" width="9.77734375" style="7" customWidth="1"/>
    <col min="2317" max="2317" width="8.21875" style="7"/>
    <col min="2318" max="2318" width="10.88671875" style="7" customWidth="1"/>
    <col min="2319" max="2560" width="8.21875" style="7"/>
    <col min="2561" max="2561" width="16.5546875" style="7" customWidth="1"/>
    <col min="2562" max="2562" width="5" style="7" customWidth="1"/>
    <col min="2563" max="2563" width="17.5546875" style="7" customWidth="1"/>
    <col min="2564" max="2564" width="34.21875" style="7" customWidth="1"/>
    <col min="2565" max="2565" width="4.109375" style="7" customWidth="1"/>
    <col min="2566" max="2566" width="8.109375" style="7" customWidth="1"/>
    <col min="2567" max="2568" width="10" style="7" customWidth="1"/>
    <col min="2569" max="2569" width="7.6640625" style="7" customWidth="1"/>
    <col min="2570" max="2572" width="9.77734375" style="7" customWidth="1"/>
    <col min="2573" max="2573" width="8.21875" style="7"/>
    <col min="2574" max="2574" width="10.88671875" style="7" customWidth="1"/>
    <col min="2575" max="2816" width="8.21875" style="7"/>
    <col min="2817" max="2817" width="16.5546875" style="7" customWidth="1"/>
    <col min="2818" max="2818" width="5" style="7" customWidth="1"/>
    <col min="2819" max="2819" width="17.5546875" style="7" customWidth="1"/>
    <col min="2820" max="2820" width="34.21875" style="7" customWidth="1"/>
    <col min="2821" max="2821" width="4.109375" style="7" customWidth="1"/>
    <col min="2822" max="2822" width="8.109375" style="7" customWidth="1"/>
    <col min="2823" max="2824" width="10" style="7" customWidth="1"/>
    <col min="2825" max="2825" width="7.6640625" style="7" customWidth="1"/>
    <col min="2826" max="2828" width="9.77734375" style="7" customWidth="1"/>
    <col min="2829" max="2829" width="8.21875" style="7"/>
    <col min="2830" max="2830" width="10.88671875" style="7" customWidth="1"/>
    <col min="2831" max="3072" width="8.21875" style="7"/>
    <col min="3073" max="3073" width="16.5546875" style="7" customWidth="1"/>
    <col min="3074" max="3074" width="5" style="7" customWidth="1"/>
    <col min="3075" max="3075" width="17.5546875" style="7" customWidth="1"/>
    <col min="3076" max="3076" width="34.21875" style="7" customWidth="1"/>
    <col min="3077" max="3077" width="4.109375" style="7" customWidth="1"/>
    <col min="3078" max="3078" width="8.109375" style="7" customWidth="1"/>
    <col min="3079" max="3080" width="10" style="7" customWidth="1"/>
    <col min="3081" max="3081" width="7.6640625" style="7" customWidth="1"/>
    <col min="3082" max="3084" width="9.77734375" style="7" customWidth="1"/>
    <col min="3085" max="3085" width="8.21875" style="7"/>
    <col min="3086" max="3086" width="10.88671875" style="7" customWidth="1"/>
    <col min="3087" max="3328" width="8.21875" style="7"/>
    <col min="3329" max="3329" width="16.5546875" style="7" customWidth="1"/>
    <col min="3330" max="3330" width="5" style="7" customWidth="1"/>
    <col min="3331" max="3331" width="17.5546875" style="7" customWidth="1"/>
    <col min="3332" max="3332" width="34.21875" style="7" customWidth="1"/>
    <col min="3333" max="3333" width="4.109375" style="7" customWidth="1"/>
    <col min="3334" max="3334" width="8.109375" style="7" customWidth="1"/>
    <col min="3335" max="3336" width="10" style="7" customWidth="1"/>
    <col min="3337" max="3337" width="7.6640625" style="7" customWidth="1"/>
    <col min="3338" max="3340" width="9.77734375" style="7" customWidth="1"/>
    <col min="3341" max="3341" width="8.21875" style="7"/>
    <col min="3342" max="3342" width="10.88671875" style="7" customWidth="1"/>
    <col min="3343" max="3584" width="8.21875" style="7"/>
    <col min="3585" max="3585" width="16.5546875" style="7" customWidth="1"/>
    <col min="3586" max="3586" width="5" style="7" customWidth="1"/>
    <col min="3587" max="3587" width="17.5546875" style="7" customWidth="1"/>
    <col min="3588" max="3588" width="34.21875" style="7" customWidth="1"/>
    <col min="3589" max="3589" width="4.109375" style="7" customWidth="1"/>
    <col min="3590" max="3590" width="8.109375" style="7" customWidth="1"/>
    <col min="3591" max="3592" width="10" style="7" customWidth="1"/>
    <col min="3593" max="3593" width="7.6640625" style="7" customWidth="1"/>
    <col min="3594" max="3596" width="9.77734375" style="7" customWidth="1"/>
    <col min="3597" max="3597" width="8.21875" style="7"/>
    <col min="3598" max="3598" width="10.88671875" style="7" customWidth="1"/>
    <col min="3599" max="3840" width="8.21875" style="7"/>
    <col min="3841" max="3841" width="16.5546875" style="7" customWidth="1"/>
    <col min="3842" max="3842" width="5" style="7" customWidth="1"/>
    <col min="3843" max="3843" width="17.5546875" style="7" customWidth="1"/>
    <col min="3844" max="3844" width="34.21875" style="7" customWidth="1"/>
    <col min="3845" max="3845" width="4.109375" style="7" customWidth="1"/>
    <col min="3846" max="3846" width="8.109375" style="7" customWidth="1"/>
    <col min="3847" max="3848" width="10" style="7" customWidth="1"/>
    <col min="3849" max="3849" width="7.6640625" style="7" customWidth="1"/>
    <col min="3850" max="3852" width="9.77734375" style="7" customWidth="1"/>
    <col min="3853" max="3853" width="8.21875" style="7"/>
    <col min="3854" max="3854" width="10.88671875" style="7" customWidth="1"/>
    <col min="3855" max="4096" width="8.21875" style="7"/>
    <col min="4097" max="4097" width="16.5546875" style="7" customWidth="1"/>
    <col min="4098" max="4098" width="5" style="7" customWidth="1"/>
    <col min="4099" max="4099" width="17.5546875" style="7" customWidth="1"/>
    <col min="4100" max="4100" width="34.21875" style="7" customWidth="1"/>
    <col min="4101" max="4101" width="4.109375" style="7" customWidth="1"/>
    <col min="4102" max="4102" width="8.109375" style="7" customWidth="1"/>
    <col min="4103" max="4104" width="10" style="7" customWidth="1"/>
    <col min="4105" max="4105" width="7.6640625" style="7" customWidth="1"/>
    <col min="4106" max="4108" width="9.77734375" style="7" customWidth="1"/>
    <col min="4109" max="4109" width="8.21875" style="7"/>
    <col min="4110" max="4110" width="10.88671875" style="7" customWidth="1"/>
    <col min="4111" max="4352" width="8.21875" style="7"/>
    <col min="4353" max="4353" width="16.5546875" style="7" customWidth="1"/>
    <col min="4354" max="4354" width="5" style="7" customWidth="1"/>
    <col min="4355" max="4355" width="17.5546875" style="7" customWidth="1"/>
    <col min="4356" max="4356" width="34.21875" style="7" customWidth="1"/>
    <col min="4357" max="4357" width="4.109375" style="7" customWidth="1"/>
    <col min="4358" max="4358" width="8.109375" style="7" customWidth="1"/>
    <col min="4359" max="4360" width="10" style="7" customWidth="1"/>
    <col min="4361" max="4361" width="7.6640625" style="7" customWidth="1"/>
    <col min="4362" max="4364" width="9.77734375" style="7" customWidth="1"/>
    <col min="4365" max="4365" width="8.21875" style="7"/>
    <col min="4366" max="4366" width="10.88671875" style="7" customWidth="1"/>
    <col min="4367" max="4608" width="8.21875" style="7"/>
    <col min="4609" max="4609" width="16.5546875" style="7" customWidth="1"/>
    <col min="4610" max="4610" width="5" style="7" customWidth="1"/>
    <col min="4611" max="4611" width="17.5546875" style="7" customWidth="1"/>
    <col min="4612" max="4612" width="34.21875" style="7" customWidth="1"/>
    <col min="4613" max="4613" width="4.109375" style="7" customWidth="1"/>
    <col min="4614" max="4614" width="8.109375" style="7" customWidth="1"/>
    <col min="4615" max="4616" width="10" style="7" customWidth="1"/>
    <col min="4617" max="4617" width="7.6640625" style="7" customWidth="1"/>
    <col min="4618" max="4620" width="9.77734375" style="7" customWidth="1"/>
    <col min="4621" max="4621" width="8.21875" style="7"/>
    <col min="4622" max="4622" width="10.88671875" style="7" customWidth="1"/>
    <col min="4623" max="4864" width="8.21875" style="7"/>
    <col min="4865" max="4865" width="16.5546875" style="7" customWidth="1"/>
    <col min="4866" max="4866" width="5" style="7" customWidth="1"/>
    <col min="4867" max="4867" width="17.5546875" style="7" customWidth="1"/>
    <col min="4868" max="4868" width="34.21875" style="7" customWidth="1"/>
    <col min="4869" max="4869" width="4.109375" style="7" customWidth="1"/>
    <col min="4870" max="4870" width="8.109375" style="7" customWidth="1"/>
    <col min="4871" max="4872" width="10" style="7" customWidth="1"/>
    <col min="4873" max="4873" width="7.6640625" style="7" customWidth="1"/>
    <col min="4874" max="4876" width="9.77734375" style="7" customWidth="1"/>
    <col min="4877" max="4877" width="8.21875" style="7"/>
    <col min="4878" max="4878" width="10.88671875" style="7" customWidth="1"/>
    <col min="4879" max="5120" width="8.21875" style="7"/>
    <col min="5121" max="5121" width="16.5546875" style="7" customWidth="1"/>
    <col min="5122" max="5122" width="5" style="7" customWidth="1"/>
    <col min="5123" max="5123" width="17.5546875" style="7" customWidth="1"/>
    <col min="5124" max="5124" width="34.21875" style="7" customWidth="1"/>
    <col min="5125" max="5125" width="4.109375" style="7" customWidth="1"/>
    <col min="5126" max="5126" width="8.109375" style="7" customWidth="1"/>
    <col min="5127" max="5128" width="10" style="7" customWidth="1"/>
    <col min="5129" max="5129" width="7.6640625" style="7" customWidth="1"/>
    <col min="5130" max="5132" width="9.77734375" style="7" customWidth="1"/>
    <col min="5133" max="5133" width="8.21875" style="7"/>
    <col min="5134" max="5134" width="10.88671875" style="7" customWidth="1"/>
    <col min="5135" max="5376" width="8.21875" style="7"/>
    <col min="5377" max="5377" width="16.5546875" style="7" customWidth="1"/>
    <col min="5378" max="5378" width="5" style="7" customWidth="1"/>
    <col min="5379" max="5379" width="17.5546875" style="7" customWidth="1"/>
    <col min="5380" max="5380" width="34.21875" style="7" customWidth="1"/>
    <col min="5381" max="5381" width="4.109375" style="7" customWidth="1"/>
    <col min="5382" max="5382" width="8.109375" style="7" customWidth="1"/>
    <col min="5383" max="5384" width="10" style="7" customWidth="1"/>
    <col min="5385" max="5385" width="7.6640625" style="7" customWidth="1"/>
    <col min="5386" max="5388" width="9.77734375" style="7" customWidth="1"/>
    <col min="5389" max="5389" width="8.21875" style="7"/>
    <col min="5390" max="5390" width="10.88671875" style="7" customWidth="1"/>
    <col min="5391" max="5632" width="8.21875" style="7"/>
    <col min="5633" max="5633" width="16.5546875" style="7" customWidth="1"/>
    <col min="5634" max="5634" width="5" style="7" customWidth="1"/>
    <col min="5635" max="5635" width="17.5546875" style="7" customWidth="1"/>
    <col min="5636" max="5636" width="34.21875" style="7" customWidth="1"/>
    <col min="5637" max="5637" width="4.109375" style="7" customWidth="1"/>
    <col min="5638" max="5638" width="8.109375" style="7" customWidth="1"/>
    <col min="5639" max="5640" width="10" style="7" customWidth="1"/>
    <col min="5641" max="5641" width="7.6640625" style="7" customWidth="1"/>
    <col min="5642" max="5644" width="9.77734375" style="7" customWidth="1"/>
    <col min="5645" max="5645" width="8.21875" style="7"/>
    <col min="5646" max="5646" width="10.88671875" style="7" customWidth="1"/>
    <col min="5647" max="5888" width="8.21875" style="7"/>
    <col min="5889" max="5889" width="16.5546875" style="7" customWidth="1"/>
    <col min="5890" max="5890" width="5" style="7" customWidth="1"/>
    <col min="5891" max="5891" width="17.5546875" style="7" customWidth="1"/>
    <col min="5892" max="5892" width="34.21875" style="7" customWidth="1"/>
    <col min="5893" max="5893" width="4.109375" style="7" customWidth="1"/>
    <col min="5894" max="5894" width="8.109375" style="7" customWidth="1"/>
    <col min="5895" max="5896" width="10" style="7" customWidth="1"/>
    <col min="5897" max="5897" width="7.6640625" style="7" customWidth="1"/>
    <col min="5898" max="5900" width="9.77734375" style="7" customWidth="1"/>
    <col min="5901" max="5901" width="8.21875" style="7"/>
    <col min="5902" max="5902" width="10.88671875" style="7" customWidth="1"/>
    <col min="5903" max="6144" width="8.21875" style="7"/>
    <col min="6145" max="6145" width="16.5546875" style="7" customWidth="1"/>
    <col min="6146" max="6146" width="5" style="7" customWidth="1"/>
    <col min="6147" max="6147" width="17.5546875" style="7" customWidth="1"/>
    <col min="6148" max="6148" width="34.21875" style="7" customWidth="1"/>
    <col min="6149" max="6149" width="4.109375" style="7" customWidth="1"/>
    <col min="6150" max="6150" width="8.109375" style="7" customWidth="1"/>
    <col min="6151" max="6152" width="10" style="7" customWidth="1"/>
    <col min="6153" max="6153" width="7.6640625" style="7" customWidth="1"/>
    <col min="6154" max="6156" width="9.77734375" style="7" customWidth="1"/>
    <col min="6157" max="6157" width="8.21875" style="7"/>
    <col min="6158" max="6158" width="10.88671875" style="7" customWidth="1"/>
    <col min="6159" max="6400" width="8.21875" style="7"/>
    <col min="6401" max="6401" width="16.5546875" style="7" customWidth="1"/>
    <col min="6402" max="6402" width="5" style="7" customWidth="1"/>
    <col min="6403" max="6403" width="17.5546875" style="7" customWidth="1"/>
    <col min="6404" max="6404" width="34.21875" style="7" customWidth="1"/>
    <col min="6405" max="6405" width="4.109375" style="7" customWidth="1"/>
    <col min="6406" max="6406" width="8.109375" style="7" customWidth="1"/>
    <col min="6407" max="6408" width="10" style="7" customWidth="1"/>
    <col min="6409" max="6409" width="7.6640625" style="7" customWidth="1"/>
    <col min="6410" max="6412" width="9.77734375" style="7" customWidth="1"/>
    <col min="6413" max="6413" width="8.21875" style="7"/>
    <col min="6414" max="6414" width="10.88671875" style="7" customWidth="1"/>
    <col min="6415" max="6656" width="8.21875" style="7"/>
    <col min="6657" max="6657" width="16.5546875" style="7" customWidth="1"/>
    <col min="6658" max="6658" width="5" style="7" customWidth="1"/>
    <col min="6659" max="6659" width="17.5546875" style="7" customWidth="1"/>
    <col min="6660" max="6660" width="34.21875" style="7" customWidth="1"/>
    <col min="6661" max="6661" width="4.109375" style="7" customWidth="1"/>
    <col min="6662" max="6662" width="8.109375" style="7" customWidth="1"/>
    <col min="6663" max="6664" width="10" style="7" customWidth="1"/>
    <col min="6665" max="6665" width="7.6640625" style="7" customWidth="1"/>
    <col min="6666" max="6668" width="9.77734375" style="7" customWidth="1"/>
    <col min="6669" max="6669" width="8.21875" style="7"/>
    <col min="6670" max="6670" width="10.88671875" style="7" customWidth="1"/>
    <col min="6671" max="6912" width="8.21875" style="7"/>
    <col min="6913" max="6913" width="16.5546875" style="7" customWidth="1"/>
    <col min="6914" max="6914" width="5" style="7" customWidth="1"/>
    <col min="6915" max="6915" width="17.5546875" style="7" customWidth="1"/>
    <col min="6916" max="6916" width="34.21875" style="7" customWidth="1"/>
    <col min="6917" max="6917" width="4.109375" style="7" customWidth="1"/>
    <col min="6918" max="6918" width="8.109375" style="7" customWidth="1"/>
    <col min="6919" max="6920" width="10" style="7" customWidth="1"/>
    <col min="6921" max="6921" width="7.6640625" style="7" customWidth="1"/>
    <col min="6922" max="6924" width="9.77734375" style="7" customWidth="1"/>
    <col min="6925" max="6925" width="8.21875" style="7"/>
    <col min="6926" max="6926" width="10.88671875" style="7" customWidth="1"/>
    <col min="6927" max="7168" width="8.21875" style="7"/>
    <col min="7169" max="7169" width="16.5546875" style="7" customWidth="1"/>
    <col min="7170" max="7170" width="5" style="7" customWidth="1"/>
    <col min="7171" max="7171" width="17.5546875" style="7" customWidth="1"/>
    <col min="7172" max="7172" width="34.21875" style="7" customWidth="1"/>
    <col min="7173" max="7173" width="4.109375" style="7" customWidth="1"/>
    <col min="7174" max="7174" width="8.109375" style="7" customWidth="1"/>
    <col min="7175" max="7176" width="10" style="7" customWidth="1"/>
    <col min="7177" max="7177" width="7.6640625" style="7" customWidth="1"/>
    <col min="7178" max="7180" width="9.77734375" style="7" customWidth="1"/>
    <col min="7181" max="7181" width="8.21875" style="7"/>
    <col min="7182" max="7182" width="10.88671875" style="7" customWidth="1"/>
    <col min="7183" max="7424" width="8.21875" style="7"/>
    <col min="7425" max="7425" width="16.5546875" style="7" customWidth="1"/>
    <col min="7426" max="7426" width="5" style="7" customWidth="1"/>
    <col min="7427" max="7427" width="17.5546875" style="7" customWidth="1"/>
    <col min="7428" max="7428" width="34.21875" style="7" customWidth="1"/>
    <col min="7429" max="7429" width="4.109375" style="7" customWidth="1"/>
    <col min="7430" max="7430" width="8.109375" style="7" customWidth="1"/>
    <col min="7431" max="7432" width="10" style="7" customWidth="1"/>
    <col min="7433" max="7433" width="7.6640625" style="7" customWidth="1"/>
    <col min="7434" max="7436" width="9.77734375" style="7" customWidth="1"/>
    <col min="7437" max="7437" width="8.21875" style="7"/>
    <col min="7438" max="7438" width="10.88671875" style="7" customWidth="1"/>
    <col min="7439" max="7680" width="8.21875" style="7"/>
    <col min="7681" max="7681" width="16.5546875" style="7" customWidth="1"/>
    <col min="7682" max="7682" width="5" style="7" customWidth="1"/>
    <col min="7683" max="7683" width="17.5546875" style="7" customWidth="1"/>
    <col min="7684" max="7684" width="34.21875" style="7" customWidth="1"/>
    <col min="7685" max="7685" width="4.109375" style="7" customWidth="1"/>
    <col min="7686" max="7686" width="8.109375" style="7" customWidth="1"/>
    <col min="7687" max="7688" width="10" style="7" customWidth="1"/>
    <col min="7689" max="7689" width="7.6640625" style="7" customWidth="1"/>
    <col min="7690" max="7692" width="9.77734375" style="7" customWidth="1"/>
    <col min="7693" max="7693" width="8.21875" style="7"/>
    <col min="7694" max="7694" width="10.88671875" style="7" customWidth="1"/>
    <col min="7695" max="7936" width="8.21875" style="7"/>
    <col min="7937" max="7937" width="16.5546875" style="7" customWidth="1"/>
    <col min="7938" max="7938" width="5" style="7" customWidth="1"/>
    <col min="7939" max="7939" width="17.5546875" style="7" customWidth="1"/>
    <col min="7940" max="7940" width="34.21875" style="7" customWidth="1"/>
    <col min="7941" max="7941" width="4.109375" style="7" customWidth="1"/>
    <col min="7942" max="7942" width="8.109375" style="7" customWidth="1"/>
    <col min="7943" max="7944" width="10" style="7" customWidth="1"/>
    <col min="7945" max="7945" width="7.6640625" style="7" customWidth="1"/>
    <col min="7946" max="7948" width="9.77734375" style="7" customWidth="1"/>
    <col min="7949" max="7949" width="8.21875" style="7"/>
    <col min="7950" max="7950" width="10.88671875" style="7" customWidth="1"/>
    <col min="7951" max="8192" width="8.21875" style="7"/>
    <col min="8193" max="8193" width="16.5546875" style="7" customWidth="1"/>
    <col min="8194" max="8194" width="5" style="7" customWidth="1"/>
    <col min="8195" max="8195" width="17.5546875" style="7" customWidth="1"/>
    <col min="8196" max="8196" width="34.21875" style="7" customWidth="1"/>
    <col min="8197" max="8197" width="4.109375" style="7" customWidth="1"/>
    <col min="8198" max="8198" width="8.109375" style="7" customWidth="1"/>
    <col min="8199" max="8200" width="10" style="7" customWidth="1"/>
    <col min="8201" max="8201" width="7.6640625" style="7" customWidth="1"/>
    <col min="8202" max="8204" width="9.77734375" style="7" customWidth="1"/>
    <col min="8205" max="8205" width="8.21875" style="7"/>
    <col min="8206" max="8206" width="10.88671875" style="7" customWidth="1"/>
    <col min="8207" max="8448" width="8.21875" style="7"/>
    <col min="8449" max="8449" width="16.5546875" style="7" customWidth="1"/>
    <col min="8450" max="8450" width="5" style="7" customWidth="1"/>
    <col min="8451" max="8451" width="17.5546875" style="7" customWidth="1"/>
    <col min="8452" max="8452" width="34.21875" style="7" customWidth="1"/>
    <col min="8453" max="8453" width="4.109375" style="7" customWidth="1"/>
    <col min="8454" max="8454" width="8.109375" style="7" customWidth="1"/>
    <col min="8455" max="8456" width="10" style="7" customWidth="1"/>
    <col min="8457" max="8457" width="7.6640625" style="7" customWidth="1"/>
    <col min="8458" max="8460" width="9.77734375" style="7" customWidth="1"/>
    <col min="8461" max="8461" width="8.21875" style="7"/>
    <col min="8462" max="8462" width="10.88671875" style="7" customWidth="1"/>
    <col min="8463" max="8704" width="8.21875" style="7"/>
    <col min="8705" max="8705" width="16.5546875" style="7" customWidth="1"/>
    <col min="8706" max="8706" width="5" style="7" customWidth="1"/>
    <col min="8707" max="8707" width="17.5546875" style="7" customWidth="1"/>
    <col min="8708" max="8708" width="34.21875" style="7" customWidth="1"/>
    <col min="8709" max="8709" width="4.109375" style="7" customWidth="1"/>
    <col min="8710" max="8710" width="8.109375" style="7" customWidth="1"/>
    <col min="8711" max="8712" width="10" style="7" customWidth="1"/>
    <col min="8713" max="8713" width="7.6640625" style="7" customWidth="1"/>
    <col min="8714" max="8716" width="9.77734375" style="7" customWidth="1"/>
    <col min="8717" max="8717" width="8.21875" style="7"/>
    <col min="8718" max="8718" width="10.88671875" style="7" customWidth="1"/>
    <col min="8719" max="8960" width="8.21875" style="7"/>
    <col min="8961" max="8961" width="16.5546875" style="7" customWidth="1"/>
    <col min="8962" max="8962" width="5" style="7" customWidth="1"/>
    <col min="8963" max="8963" width="17.5546875" style="7" customWidth="1"/>
    <col min="8964" max="8964" width="34.21875" style="7" customWidth="1"/>
    <col min="8965" max="8965" width="4.109375" style="7" customWidth="1"/>
    <col min="8966" max="8966" width="8.109375" style="7" customWidth="1"/>
    <col min="8967" max="8968" width="10" style="7" customWidth="1"/>
    <col min="8969" max="8969" width="7.6640625" style="7" customWidth="1"/>
    <col min="8970" max="8972" width="9.77734375" style="7" customWidth="1"/>
    <col min="8973" max="8973" width="8.21875" style="7"/>
    <col min="8974" max="8974" width="10.88671875" style="7" customWidth="1"/>
    <col min="8975" max="9216" width="8.21875" style="7"/>
    <col min="9217" max="9217" width="16.5546875" style="7" customWidth="1"/>
    <col min="9218" max="9218" width="5" style="7" customWidth="1"/>
    <col min="9219" max="9219" width="17.5546875" style="7" customWidth="1"/>
    <col min="9220" max="9220" width="34.21875" style="7" customWidth="1"/>
    <col min="9221" max="9221" width="4.109375" style="7" customWidth="1"/>
    <col min="9222" max="9222" width="8.109375" style="7" customWidth="1"/>
    <col min="9223" max="9224" width="10" style="7" customWidth="1"/>
    <col min="9225" max="9225" width="7.6640625" style="7" customWidth="1"/>
    <col min="9226" max="9228" width="9.77734375" style="7" customWidth="1"/>
    <col min="9229" max="9229" width="8.21875" style="7"/>
    <col min="9230" max="9230" width="10.88671875" style="7" customWidth="1"/>
    <col min="9231" max="9472" width="8.21875" style="7"/>
    <col min="9473" max="9473" width="16.5546875" style="7" customWidth="1"/>
    <col min="9474" max="9474" width="5" style="7" customWidth="1"/>
    <col min="9475" max="9475" width="17.5546875" style="7" customWidth="1"/>
    <col min="9476" max="9476" width="34.21875" style="7" customWidth="1"/>
    <col min="9477" max="9477" width="4.109375" style="7" customWidth="1"/>
    <col min="9478" max="9478" width="8.109375" style="7" customWidth="1"/>
    <col min="9479" max="9480" width="10" style="7" customWidth="1"/>
    <col min="9481" max="9481" width="7.6640625" style="7" customWidth="1"/>
    <col min="9482" max="9484" width="9.77734375" style="7" customWidth="1"/>
    <col min="9485" max="9485" width="8.21875" style="7"/>
    <col min="9486" max="9486" width="10.88671875" style="7" customWidth="1"/>
    <col min="9487" max="9728" width="8.21875" style="7"/>
    <col min="9729" max="9729" width="16.5546875" style="7" customWidth="1"/>
    <col min="9730" max="9730" width="5" style="7" customWidth="1"/>
    <col min="9731" max="9731" width="17.5546875" style="7" customWidth="1"/>
    <col min="9732" max="9732" width="34.21875" style="7" customWidth="1"/>
    <col min="9733" max="9733" width="4.109375" style="7" customWidth="1"/>
    <col min="9734" max="9734" width="8.109375" style="7" customWidth="1"/>
    <col min="9735" max="9736" width="10" style="7" customWidth="1"/>
    <col min="9737" max="9737" width="7.6640625" style="7" customWidth="1"/>
    <col min="9738" max="9740" width="9.77734375" style="7" customWidth="1"/>
    <col min="9741" max="9741" width="8.21875" style="7"/>
    <col min="9742" max="9742" width="10.88671875" style="7" customWidth="1"/>
    <col min="9743" max="9984" width="8.21875" style="7"/>
    <col min="9985" max="9985" width="16.5546875" style="7" customWidth="1"/>
    <col min="9986" max="9986" width="5" style="7" customWidth="1"/>
    <col min="9987" max="9987" width="17.5546875" style="7" customWidth="1"/>
    <col min="9988" max="9988" width="34.21875" style="7" customWidth="1"/>
    <col min="9989" max="9989" width="4.109375" style="7" customWidth="1"/>
    <col min="9990" max="9990" width="8.109375" style="7" customWidth="1"/>
    <col min="9991" max="9992" width="10" style="7" customWidth="1"/>
    <col min="9993" max="9993" width="7.6640625" style="7" customWidth="1"/>
    <col min="9994" max="9996" width="9.77734375" style="7" customWidth="1"/>
    <col min="9997" max="9997" width="8.21875" style="7"/>
    <col min="9998" max="9998" width="10.88671875" style="7" customWidth="1"/>
    <col min="9999" max="10240" width="8.21875" style="7"/>
    <col min="10241" max="10241" width="16.5546875" style="7" customWidth="1"/>
    <col min="10242" max="10242" width="5" style="7" customWidth="1"/>
    <col min="10243" max="10243" width="17.5546875" style="7" customWidth="1"/>
    <col min="10244" max="10244" width="34.21875" style="7" customWidth="1"/>
    <col min="10245" max="10245" width="4.109375" style="7" customWidth="1"/>
    <col min="10246" max="10246" width="8.109375" style="7" customWidth="1"/>
    <col min="10247" max="10248" width="10" style="7" customWidth="1"/>
    <col min="10249" max="10249" width="7.6640625" style="7" customWidth="1"/>
    <col min="10250" max="10252" width="9.77734375" style="7" customWidth="1"/>
    <col min="10253" max="10253" width="8.21875" style="7"/>
    <col min="10254" max="10254" width="10.88671875" style="7" customWidth="1"/>
    <col min="10255" max="10496" width="8.21875" style="7"/>
    <col min="10497" max="10497" width="16.5546875" style="7" customWidth="1"/>
    <col min="10498" max="10498" width="5" style="7" customWidth="1"/>
    <col min="10499" max="10499" width="17.5546875" style="7" customWidth="1"/>
    <col min="10500" max="10500" width="34.21875" style="7" customWidth="1"/>
    <col min="10501" max="10501" width="4.109375" style="7" customWidth="1"/>
    <col min="10502" max="10502" width="8.109375" style="7" customWidth="1"/>
    <col min="10503" max="10504" width="10" style="7" customWidth="1"/>
    <col min="10505" max="10505" width="7.6640625" style="7" customWidth="1"/>
    <col min="10506" max="10508" width="9.77734375" style="7" customWidth="1"/>
    <col min="10509" max="10509" width="8.21875" style="7"/>
    <col min="10510" max="10510" width="10.88671875" style="7" customWidth="1"/>
    <col min="10511" max="10752" width="8.21875" style="7"/>
    <col min="10753" max="10753" width="16.5546875" style="7" customWidth="1"/>
    <col min="10754" max="10754" width="5" style="7" customWidth="1"/>
    <col min="10755" max="10755" width="17.5546875" style="7" customWidth="1"/>
    <col min="10756" max="10756" width="34.21875" style="7" customWidth="1"/>
    <col min="10757" max="10757" width="4.109375" style="7" customWidth="1"/>
    <col min="10758" max="10758" width="8.109375" style="7" customWidth="1"/>
    <col min="10759" max="10760" width="10" style="7" customWidth="1"/>
    <col min="10761" max="10761" width="7.6640625" style="7" customWidth="1"/>
    <col min="10762" max="10764" width="9.77734375" style="7" customWidth="1"/>
    <col min="10765" max="10765" width="8.21875" style="7"/>
    <col min="10766" max="10766" width="10.88671875" style="7" customWidth="1"/>
    <col min="10767" max="11008" width="8.21875" style="7"/>
    <col min="11009" max="11009" width="16.5546875" style="7" customWidth="1"/>
    <col min="11010" max="11010" width="5" style="7" customWidth="1"/>
    <col min="11011" max="11011" width="17.5546875" style="7" customWidth="1"/>
    <col min="11012" max="11012" width="34.21875" style="7" customWidth="1"/>
    <col min="11013" max="11013" width="4.109375" style="7" customWidth="1"/>
    <col min="11014" max="11014" width="8.109375" style="7" customWidth="1"/>
    <col min="11015" max="11016" width="10" style="7" customWidth="1"/>
    <col min="11017" max="11017" width="7.6640625" style="7" customWidth="1"/>
    <col min="11018" max="11020" width="9.77734375" style="7" customWidth="1"/>
    <col min="11021" max="11021" width="8.21875" style="7"/>
    <col min="11022" max="11022" width="10.88671875" style="7" customWidth="1"/>
    <col min="11023" max="11264" width="8.21875" style="7"/>
    <col min="11265" max="11265" width="16.5546875" style="7" customWidth="1"/>
    <col min="11266" max="11266" width="5" style="7" customWidth="1"/>
    <col min="11267" max="11267" width="17.5546875" style="7" customWidth="1"/>
    <col min="11268" max="11268" width="34.21875" style="7" customWidth="1"/>
    <col min="11269" max="11269" width="4.109375" style="7" customWidth="1"/>
    <col min="11270" max="11270" width="8.109375" style="7" customWidth="1"/>
    <col min="11271" max="11272" width="10" style="7" customWidth="1"/>
    <col min="11273" max="11273" width="7.6640625" style="7" customWidth="1"/>
    <col min="11274" max="11276" width="9.77734375" style="7" customWidth="1"/>
    <col min="11277" max="11277" width="8.21875" style="7"/>
    <col min="11278" max="11278" width="10.88671875" style="7" customWidth="1"/>
    <col min="11279" max="11520" width="8.21875" style="7"/>
    <col min="11521" max="11521" width="16.5546875" style="7" customWidth="1"/>
    <col min="11522" max="11522" width="5" style="7" customWidth="1"/>
    <col min="11523" max="11523" width="17.5546875" style="7" customWidth="1"/>
    <col min="11524" max="11524" width="34.21875" style="7" customWidth="1"/>
    <col min="11525" max="11525" width="4.109375" style="7" customWidth="1"/>
    <col min="11526" max="11526" width="8.109375" style="7" customWidth="1"/>
    <col min="11527" max="11528" width="10" style="7" customWidth="1"/>
    <col min="11529" max="11529" width="7.6640625" style="7" customWidth="1"/>
    <col min="11530" max="11532" width="9.77734375" style="7" customWidth="1"/>
    <col min="11533" max="11533" width="8.21875" style="7"/>
    <col min="11534" max="11534" width="10.88671875" style="7" customWidth="1"/>
    <col min="11535" max="11776" width="8.21875" style="7"/>
    <col min="11777" max="11777" width="16.5546875" style="7" customWidth="1"/>
    <col min="11778" max="11778" width="5" style="7" customWidth="1"/>
    <col min="11779" max="11779" width="17.5546875" style="7" customWidth="1"/>
    <col min="11780" max="11780" width="34.21875" style="7" customWidth="1"/>
    <col min="11781" max="11781" width="4.109375" style="7" customWidth="1"/>
    <col min="11782" max="11782" width="8.109375" style="7" customWidth="1"/>
    <col min="11783" max="11784" width="10" style="7" customWidth="1"/>
    <col min="11785" max="11785" width="7.6640625" style="7" customWidth="1"/>
    <col min="11786" max="11788" width="9.77734375" style="7" customWidth="1"/>
    <col min="11789" max="11789" width="8.21875" style="7"/>
    <col min="11790" max="11790" width="10.88671875" style="7" customWidth="1"/>
    <col min="11791" max="12032" width="8.21875" style="7"/>
    <col min="12033" max="12033" width="16.5546875" style="7" customWidth="1"/>
    <col min="12034" max="12034" width="5" style="7" customWidth="1"/>
    <col min="12035" max="12035" width="17.5546875" style="7" customWidth="1"/>
    <col min="12036" max="12036" width="34.21875" style="7" customWidth="1"/>
    <col min="12037" max="12037" width="4.109375" style="7" customWidth="1"/>
    <col min="12038" max="12038" width="8.109375" style="7" customWidth="1"/>
    <col min="12039" max="12040" width="10" style="7" customWidth="1"/>
    <col min="12041" max="12041" width="7.6640625" style="7" customWidth="1"/>
    <col min="12042" max="12044" width="9.77734375" style="7" customWidth="1"/>
    <col min="12045" max="12045" width="8.21875" style="7"/>
    <col min="12046" max="12046" width="10.88671875" style="7" customWidth="1"/>
    <col min="12047" max="12288" width="8.21875" style="7"/>
    <col min="12289" max="12289" width="16.5546875" style="7" customWidth="1"/>
    <col min="12290" max="12290" width="5" style="7" customWidth="1"/>
    <col min="12291" max="12291" width="17.5546875" style="7" customWidth="1"/>
    <col min="12292" max="12292" width="34.21875" style="7" customWidth="1"/>
    <col min="12293" max="12293" width="4.109375" style="7" customWidth="1"/>
    <col min="12294" max="12294" width="8.109375" style="7" customWidth="1"/>
    <col min="12295" max="12296" width="10" style="7" customWidth="1"/>
    <col min="12297" max="12297" width="7.6640625" style="7" customWidth="1"/>
    <col min="12298" max="12300" width="9.77734375" style="7" customWidth="1"/>
    <col min="12301" max="12301" width="8.21875" style="7"/>
    <col min="12302" max="12302" width="10.88671875" style="7" customWidth="1"/>
    <col min="12303" max="12544" width="8.21875" style="7"/>
    <col min="12545" max="12545" width="16.5546875" style="7" customWidth="1"/>
    <col min="12546" max="12546" width="5" style="7" customWidth="1"/>
    <col min="12547" max="12547" width="17.5546875" style="7" customWidth="1"/>
    <col min="12548" max="12548" width="34.21875" style="7" customWidth="1"/>
    <col min="12549" max="12549" width="4.109375" style="7" customWidth="1"/>
    <col min="12550" max="12550" width="8.109375" style="7" customWidth="1"/>
    <col min="12551" max="12552" width="10" style="7" customWidth="1"/>
    <col min="12553" max="12553" width="7.6640625" style="7" customWidth="1"/>
    <col min="12554" max="12556" width="9.77734375" style="7" customWidth="1"/>
    <col min="12557" max="12557" width="8.21875" style="7"/>
    <col min="12558" max="12558" width="10.88671875" style="7" customWidth="1"/>
    <col min="12559" max="12800" width="8.21875" style="7"/>
    <col min="12801" max="12801" width="16.5546875" style="7" customWidth="1"/>
    <col min="12802" max="12802" width="5" style="7" customWidth="1"/>
    <col min="12803" max="12803" width="17.5546875" style="7" customWidth="1"/>
    <col min="12804" max="12804" width="34.21875" style="7" customWidth="1"/>
    <col min="12805" max="12805" width="4.109375" style="7" customWidth="1"/>
    <col min="12806" max="12806" width="8.109375" style="7" customWidth="1"/>
    <col min="12807" max="12808" width="10" style="7" customWidth="1"/>
    <col min="12809" max="12809" width="7.6640625" style="7" customWidth="1"/>
    <col min="12810" max="12812" width="9.77734375" style="7" customWidth="1"/>
    <col min="12813" max="12813" width="8.21875" style="7"/>
    <col min="12814" max="12814" width="10.88671875" style="7" customWidth="1"/>
    <col min="12815" max="13056" width="8.21875" style="7"/>
    <col min="13057" max="13057" width="16.5546875" style="7" customWidth="1"/>
    <col min="13058" max="13058" width="5" style="7" customWidth="1"/>
    <col min="13059" max="13059" width="17.5546875" style="7" customWidth="1"/>
    <col min="13060" max="13060" width="34.21875" style="7" customWidth="1"/>
    <col min="13061" max="13061" width="4.109375" style="7" customWidth="1"/>
    <col min="13062" max="13062" width="8.109375" style="7" customWidth="1"/>
    <col min="13063" max="13064" width="10" style="7" customWidth="1"/>
    <col min="13065" max="13065" width="7.6640625" style="7" customWidth="1"/>
    <col min="13066" max="13068" width="9.77734375" style="7" customWidth="1"/>
    <col min="13069" max="13069" width="8.21875" style="7"/>
    <col min="13070" max="13070" width="10.88671875" style="7" customWidth="1"/>
    <col min="13071" max="13312" width="8.21875" style="7"/>
    <col min="13313" max="13313" width="16.5546875" style="7" customWidth="1"/>
    <col min="13314" max="13314" width="5" style="7" customWidth="1"/>
    <col min="13315" max="13315" width="17.5546875" style="7" customWidth="1"/>
    <col min="13316" max="13316" width="34.21875" style="7" customWidth="1"/>
    <col min="13317" max="13317" width="4.109375" style="7" customWidth="1"/>
    <col min="13318" max="13318" width="8.109375" style="7" customWidth="1"/>
    <col min="13319" max="13320" width="10" style="7" customWidth="1"/>
    <col min="13321" max="13321" width="7.6640625" style="7" customWidth="1"/>
    <col min="13322" max="13324" width="9.77734375" style="7" customWidth="1"/>
    <col min="13325" max="13325" width="8.21875" style="7"/>
    <col min="13326" max="13326" width="10.88671875" style="7" customWidth="1"/>
    <col min="13327" max="13568" width="8.21875" style="7"/>
    <col min="13569" max="13569" width="16.5546875" style="7" customWidth="1"/>
    <col min="13570" max="13570" width="5" style="7" customWidth="1"/>
    <col min="13571" max="13571" width="17.5546875" style="7" customWidth="1"/>
    <col min="13572" max="13572" width="34.21875" style="7" customWidth="1"/>
    <col min="13573" max="13573" width="4.109375" style="7" customWidth="1"/>
    <col min="13574" max="13574" width="8.109375" style="7" customWidth="1"/>
    <col min="13575" max="13576" width="10" style="7" customWidth="1"/>
    <col min="13577" max="13577" width="7.6640625" style="7" customWidth="1"/>
    <col min="13578" max="13580" width="9.77734375" style="7" customWidth="1"/>
    <col min="13581" max="13581" width="8.21875" style="7"/>
    <col min="13582" max="13582" width="10.88671875" style="7" customWidth="1"/>
    <col min="13583" max="13824" width="8.21875" style="7"/>
    <col min="13825" max="13825" width="16.5546875" style="7" customWidth="1"/>
    <col min="13826" max="13826" width="5" style="7" customWidth="1"/>
    <col min="13827" max="13827" width="17.5546875" style="7" customWidth="1"/>
    <col min="13828" max="13828" width="34.21875" style="7" customWidth="1"/>
    <col min="13829" max="13829" width="4.109375" style="7" customWidth="1"/>
    <col min="13830" max="13830" width="8.109375" style="7" customWidth="1"/>
    <col min="13831" max="13832" width="10" style="7" customWidth="1"/>
    <col min="13833" max="13833" width="7.6640625" style="7" customWidth="1"/>
    <col min="13834" max="13836" width="9.77734375" style="7" customWidth="1"/>
    <col min="13837" max="13837" width="8.21875" style="7"/>
    <col min="13838" max="13838" width="10.88671875" style="7" customWidth="1"/>
    <col min="13839" max="14080" width="8.21875" style="7"/>
    <col min="14081" max="14081" width="16.5546875" style="7" customWidth="1"/>
    <col min="14082" max="14082" width="5" style="7" customWidth="1"/>
    <col min="14083" max="14083" width="17.5546875" style="7" customWidth="1"/>
    <col min="14084" max="14084" width="34.21875" style="7" customWidth="1"/>
    <col min="14085" max="14085" width="4.109375" style="7" customWidth="1"/>
    <col min="14086" max="14086" width="8.109375" style="7" customWidth="1"/>
    <col min="14087" max="14088" width="10" style="7" customWidth="1"/>
    <col min="14089" max="14089" width="7.6640625" style="7" customWidth="1"/>
    <col min="14090" max="14092" width="9.77734375" style="7" customWidth="1"/>
    <col min="14093" max="14093" width="8.21875" style="7"/>
    <col min="14094" max="14094" width="10.88671875" style="7" customWidth="1"/>
    <col min="14095" max="14336" width="8.21875" style="7"/>
    <col min="14337" max="14337" width="16.5546875" style="7" customWidth="1"/>
    <col min="14338" max="14338" width="5" style="7" customWidth="1"/>
    <col min="14339" max="14339" width="17.5546875" style="7" customWidth="1"/>
    <col min="14340" max="14340" width="34.21875" style="7" customWidth="1"/>
    <col min="14341" max="14341" width="4.109375" style="7" customWidth="1"/>
    <col min="14342" max="14342" width="8.109375" style="7" customWidth="1"/>
    <col min="14343" max="14344" width="10" style="7" customWidth="1"/>
    <col min="14345" max="14345" width="7.6640625" style="7" customWidth="1"/>
    <col min="14346" max="14348" width="9.77734375" style="7" customWidth="1"/>
    <col min="14349" max="14349" width="8.21875" style="7"/>
    <col min="14350" max="14350" width="10.88671875" style="7" customWidth="1"/>
    <col min="14351" max="14592" width="8.21875" style="7"/>
    <col min="14593" max="14593" width="16.5546875" style="7" customWidth="1"/>
    <col min="14594" max="14594" width="5" style="7" customWidth="1"/>
    <col min="14595" max="14595" width="17.5546875" style="7" customWidth="1"/>
    <col min="14596" max="14596" width="34.21875" style="7" customWidth="1"/>
    <col min="14597" max="14597" width="4.109375" style="7" customWidth="1"/>
    <col min="14598" max="14598" width="8.109375" style="7" customWidth="1"/>
    <col min="14599" max="14600" width="10" style="7" customWidth="1"/>
    <col min="14601" max="14601" width="7.6640625" style="7" customWidth="1"/>
    <col min="14602" max="14604" width="9.77734375" style="7" customWidth="1"/>
    <col min="14605" max="14605" width="8.21875" style="7"/>
    <col min="14606" max="14606" width="10.88671875" style="7" customWidth="1"/>
    <col min="14607" max="14848" width="8.21875" style="7"/>
    <col min="14849" max="14849" width="16.5546875" style="7" customWidth="1"/>
    <col min="14850" max="14850" width="5" style="7" customWidth="1"/>
    <col min="14851" max="14851" width="17.5546875" style="7" customWidth="1"/>
    <col min="14852" max="14852" width="34.21875" style="7" customWidth="1"/>
    <col min="14853" max="14853" width="4.109375" style="7" customWidth="1"/>
    <col min="14854" max="14854" width="8.109375" style="7" customWidth="1"/>
    <col min="14855" max="14856" width="10" style="7" customWidth="1"/>
    <col min="14857" max="14857" width="7.6640625" style="7" customWidth="1"/>
    <col min="14858" max="14860" width="9.77734375" style="7" customWidth="1"/>
    <col min="14861" max="14861" width="8.21875" style="7"/>
    <col min="14862" max="14862" width="10.88671875" style="7" customWidth="1"/>
    <col min="14863" max="15104" width="8.21875" style="7"/>
    <col min="15105" max="15105" width="16.5546875" style="7" customWidth="1"/>
    <col min="15106" max="15106" width="5" style="7" customWidth="1"/>
    <col min="15107" max="15107" width="17.5546875" style="7" customWidth="1"/>
    <col min="15108" max="15108" width="34.21875" style="7" customWidth="1"/>
    <col min="15109" max="15109" width="4.109375" style="7" customWidth="1"/>
    <col min="15110" max="15110" width="8.109375" style="7" customWidth="1"/>
    <col min="15111" max="15112" width="10" style="7" customWidth="1"/>
    <col min="15113" max="15113" width="7.6640625" style="7" customWidth="1"/>
    <col min="15114" max="15116" width="9.77734375" style="7" customWidth="1"/>
    <col min="15117" max="15117" width="8.21875" style="7"/>
    <col min="15118" max="15118" width="10.88671875" style="7" customWidth="1"/>
    <col min="15119" max="15360" width="8.21875" style="7"/>
    <col min="15361" max="15361" width="16.5546875" style="7" customWidth="1"/>
    <col min="15362" max="15362" width="5" style="7" customWidth="1"/>
    <col min="15363" max="15363" width="17.5546875" style="7" customWidth="1"/>
    <col min="15364" max="15364" width="34.21875" style="7" customWidth="1"/>
    <col min="15365" max="15365" width="4.109375" style="7" customWidth="1"/>
    <col min="15366" max="15366" width="8.109375" style="7" customWidth="1"/>
    <col min="15367" max="15368" width="10" style="7" customWidth="1"/>
    <col min="15369" max="15369" width="7.6640625" style="7" customWidth="1"/>
    <col min="15370" max="15372" width="9.77734375" style="7" customWidth="1"/>
    <col min="15373" max="15373" width="8.21875" style="7"/>
    <col min="15374" max="15374" width="10.88671875" style="7" customWidth="1"/>
    <col min="15375" max="15616" width="8.21875" style="7"/>
    <col min="15617" max="15617" width="16.5546875" style="7" customWidth="1"/>
    <col min="15618" max="15618" width="5" style="7" customWidth="1"/>
    <col min="15619" max="15619" width="17.5546875" style="7" customWidth="1"/>
    <col min="15620" max="15620" width="34.21875" style="7" customWidth="1"/>
    <col min="15621" max="15621" width="4.109375" style="7" customWidth="1"/>
    <col min="15622" max="15622" width="8.109375" style="7" customWidth="1"/>
    <col min="15623" max="15624" width="10" style="7" customWidth="1"/>
    <col min="15625" max="15625" width="7.6640625" style="7" customWidth="1"/>
    <col min="15626" max="15628" width="9.77734375" style="7" customWidth="1"/>
    <col min="15629" max="15629" width="8.21875" style="7"/>
    <col min="15630" max="15630" width="10.88671875" style="7" customWidth="1"/>
    <col min="15631" max="15872" width="8.21875" style="7"/>
    <col min="15873" max="15873" width="16.5546875" style="7" customWidth="1"/>
    <col min="15874" max="15874" width="5" style="7" customWidth="1"/>
    <col min="15875" max="15875" width="17.5546875" style="7" customWidth="1"/>
    <col min="15876" max="15876" width="34.21875" style="7" customWidth="1"/>
    <col min="15877" max="15877" width="4.109375" style="7" customWidth="1"/>
    <col min="15878" max="15878" width="8.109375" style="7" customWidth="1"/>
    <col min="15879" max="15880" width="10" style="7" customWidth="1"/>
    <col min="15881" max="15881" width="7.6640625" style="7" customWidth="1"/>
    <col min="15882" max="15884" width="9.77734375" style="7" customWidth="1"/>
    <col min="15885" max="15885" width="8.21875" style="7"/>
    <col min="15886" max="15886" width="10.88671875" style="7" customWidth="1"/>
    <col min="15887" max="16128" width="8.21875" style="7"/>
    <col min="16129" max="16129" width="16.5546875" style="7" customWidth="1"/>
    <col min="16130" max="16130" width="5" style="7" customWidth="1"/>
    <col min="16131" max="16131" width="17.5546875" style="7" customWidth="1"/>
    <col min="16132" max="16132" width="34.21875" style="7" customWidth="1"/>
    <col min="16133" max="16133" width="4.109375" style="7" customWidth="1"/>
    <col min="16134" max="16134" width="8.109375" style="7" customWidth="1"/>
    <col min="16135" max="16136" width="10" style="7" customWidth="1"/>
    <col min="16137" max="16137" width="7.6640625" style="7" customWidth="1"/>
    <col min="16138" max="16140" width="9.77734375" style="7" customWidth="1"/>
    <col min="16141" max="16141" width="8.21875" style="7"/>
    <col min="16142" max="16142" width="10.88671875" style="7" customWidth="1"/>
    <col min="16143" max="16384" width="8.21875" style="7"/>
  </cols>
  <sheetData>
    <row r="1" spans="1:13" ht="21.75" customHeight="1" x14ac:dyDescent="0.25">
      <c r="A1" s="137" t="s">
        <v>338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2"/>
    </row>
    <row r="2" spans="1:13" ht="16.5" customHeight="1" x14ac:dyDescent="0.25">
      <c r="A2" s="136" t="s">
        <v>29</v>
      </c>
      <c r="B2" s="135" t="s">
        <v>1</v>
      </c>
      <c r="C2" s="136" t="s">
        <v>30</v>
      </c>
      <c r="D2" s="136" t="s">
        <v>31</v>
      </c>
      <c r="E2" s="136" t="s">
        <v>32</v>
      </c>
      <c r="F2" s="136" t="s">
        <v>33</v>
      </c>
      <c r="G2" s="139" t="s">
        <v>34</v>
      </c>
      <c r="H2" s="139"/>
      <c r="I2" s="139"/>
      <c r="J2" s="139" t="s">
        <v>35</v>
      </c>
      <c r="K2" s="139"/>
      <c r="L2" s="139"/>
      <c r="M2" s="16" t="s">
        <v>37</v>
      </c>
    </row>
    <row r="3" spans="1:13" ht="18" customHeight="1" x14ac:dyDescent="0.25">
      <c r="A3" s="136"/>
      <c r="B3" s="135"/>
      <c r="C3" s="136"/>
      <c r="D3" s="136"/>
      <c r="E3" s="136"/>
      <c r="F3" s="136"/>
      <c r="G3" s="15" t="s">
        <v>38</v>
      </c>
      <c r="H3" s="15" t="s">
        <v>39</v>
      </c>
      <c r="I3" s="15" t="s">
        <v>10</v>
      </c>
      <c r="J3" s="15" t="s">
        <v>38</v>
      </c>
      <c r="K3" s="15" t="s">
        <v>39</v>
      </c>
      <c r="L3" s="15" t="s">
        <v>10</v>
      </c>
      <c r="M3" s="16">
        <f>1.05*1</f>
        <v>1.05</v>
      </c>
    </row>
    <row r="4" spans="1:13" ht="14.25" customHeight="1" x14ac:dyDescent="0.25">
      <c r="A4" s="146" t="s">
        <v>339</v>
      </c>
      <c r="B4" s="17">
        <v>1</v>
      </c>
      <c r="C4" s="18" t="s">
        <v>340</v>
      </c>
      <c r="D4" s="19"/>
      <c r="E4" s="13"/>
      <c r="F4" s="13"/>
      <c r="G4" s="20"/>
      <c r="H4" s="20"/>
      <c r="I4" s="20"/>
      <c r="J4" s="20"/>
      <c r="K4" s="20"/>
      <c r="L4" s="20"/>
    </row>
    <row r="5" spans="1:13" ht="12" outlineLevel="1" x14ac:dyDescent="0.25">
      <c r="A5" s="147"/>
      <c r="B5" s="14">
        <v>1.1000000000000001</v>
      </c>
      <c r="C5" s="19" t="s">
        <v>341</v>
      </c>
      <c r="D5" s="21" t="s">
        <v>342</v>
      </c>
      <c r="E5" s="13" t="s">
        <v>55</v>
      </c>
      <c r="F5" s="13"/>
      <c r="G5" s="20"/>
      <c r="H5" s="20"/>
      <c r="I5" s="20">
        <f>200*$M$3</f>
        <v>210</v>
      </c>
      <c r="J5" s="20">
        <f>F5*G5</f>
        <v>0</v>
      </c>
      <c r="K5" s="20"/>
      <c r="L5" s="20">
        <f>F5*I5</f>
        <v>0</v>
      </c>
      <c r="M5" s="12"/>
    </row>
    <row r="6" spans="1:13" ht="12" outlineLevel="1" x14ac:dyDescent="0.25">
      <c r="A6" s="147"/>
      <c r="B6" s="14">
        <v>1.2</v>
      </c>
      <c r="C6" s="19" t="s">
        <v>341</v>
      </c>
      <c r="D6" s="21" t="s">
        <v>343</v>
      </c>
      <c r="E6" s="13" t="s">
        <v>55</v>
      </c>
      <c r="F6" s="13"/>
      <c r="G6" s="20"/>
      <c r="H6" s="20"/>
      <c r="I6" s="20">
        <f>500*$M$3</f>
        <v>525</v>
      </c>
      <c r="J6" s="20">
        <f>F6*G6</f>
        <v>0</v>
      </c>
      <c r="K6" s="20"/>
      <c r="L6" s="20">
        <f>F6*I6</f>
        <v>0</v>
      </c>
      <c r="M6" s="12"/>
    </row>
    <row r="7" spans="1:13" ht="12" outlineLevel="1" x14ac:dyDescent="0.25">
      <c r="A7" s="147"/>
      <c r="B7" s="14">
        <v>1.3</v>
      </c>
      <c r="C7" s="19" t="s">
        <v>341</v>
      </c>
      <c r="D7" s="21" t="s">
        <v>344</v>
      </c>
      <c r="E7" s="13" t="s">
        <v>55</v>
      </c>
      <c r="F7" s="13">
        <v>1</v>
      </c>
      <c r="G7" s="20">
        <v>98000</v>
      </c>
      <c r="H7" s="20"/>
      <c r="I7" s="20">
        <f>1000*$M$3</f>
        <v>1050</v>
      </c>
      <c r="J7" s="20">
        <f>F7*G7</f>
        <v>98000</v>
      </c>
      <c r="K7" s="20"/>
      <c r="L7" s="20">
        <f>F7*I7</f>
        <v>1050</v>
      </c>
      <c r="M7" s="12"/>
    </row>
    <row r="8" spans="1:13" ht="12" outlineLevel="1" x14ac:dyDescent="0.25">
      <c r="A8" s="147"/>
      <c r="B8" s="14">
        <v>1.4</v>
      </c>
      <c r="C8" s="19" t="s">
        <v>341</v>
      </c>
      <c r="D8" s="21" t="s">
        <v>345</v>
      </c>
      <c r="E8" s="13" t="s">
        <v>55</v>
      </c>
      <c r="F8" s="13"/>
      <c r="G8" s="20"/>
      <c r="H8" s="20"/>
      <c r="I8" s="20">
        <f>2000*$M$3</f>
        <v>2100</v>
      </c>
      <c r="J8" s="20">
        <f>F8*G8</f>
        <v>0</v>
      </c>
      <c r="K8" s="20"/>
      <c r="L8" s="20">
        <f>F8*I8</f>
        <v>0</v>
      </c>
      <c r="M8" s="12"/>
    </row>
    <row r="9" spans="1:13" ht="12" outlineLevel="1" x14ac:dyDescent="0.25">
      <c r="A9" s="147"/>
      <c r="B9" s="14">
        <v>1.5</v>
      </c>
      <c r="C9" s="19" t="s">
        <v>341</v>
      </c>
      <c r="D9" s="21" t="s">
        <v>346</v>
      </c>
      <c r="E9" s="13" t="s">
        <v>55</v>
      </c>
      <c r="F9" s="13">
        <v>1</v>
      </c>
      <c r="G9" s="20">
        <v>500000</v>
      </c>
      <c r="H9" s="20"/>
      <c r="I9" s="20">
        <f>7500*$M$3</f>
        <v>7875</v>
      </c>
      <c r="J9" s="20">
        <f>F9*G9</f>
        <v>500000</v>
      </c>
      <c r="K9" s="20"/>
      <c r="L9" s="20">
        <f>F9*I9</f>
        <v>7875</v>
      </c>
      <c r="M9" s="12"/>
    </row>
    <row r="10" spans="1:13" ht="14.25" customHeight="1" x14ac:dyDescent="0.25">
      <c r="A10" s="147"/>
      <c r="B10" s="17">
        <v>2</v>
      </c>
      <c r="C10" s="18" t="s">
        <v>51</v>
      </c>
      <c r="D10" s="19"/>
      <c r="E10" s="13"/>
      <c r="F10" s="13"/>
      <c r="G10" s="20"/>
      <c r="H10" s="20"/>
      <c r="I10" s="20"/>
      <c r="J10" s="20"/>
      <c r="K10" s="20"/>
      <c r="L10" s="20"/>
      <c r="M10" s="12"/>
    </row>
    <row r="11" spans="1:13" ht="14.25" customHeight="1" outlineLevel="1" x14ac:dyDescent="0.25">
      <c r="A11" s="147"/>
      <c r="B11" s="14">
        <v>2.1</v>
      </c>
      <c r="C11" s="19" t="s">
        <v>79</v>
      </c>
      <c r="D11" s="19"/>
      <c r="E11" s="13"/>
      <c r="F11" s="13"/>
      <c r="G11" s="20"/>
      <c r="H11" s="20"/>
      <c r="I11" s="20"/>
      <c r="J11" s="20"/>
      <c r="K11" s="20"/>
      <c r="L11" s="20"/>
      <c r="M11" s="12"/>
    </row>
    <row r="12" spans="1:13" ht="14.25" customHeight="1" outlineLevel="2" x14ac:dyDescent="0.25">
      <c r="A12" s="147"/>
      <c r="B12" s="14"/>
      <c r="C12" s="19"/>
      <c r="D12" s="22" t="s">
        <v>88</v>
      </c>
      <c r="E12" s="13" t="s">
        <v>81</v>
      </c>
      <c r="F12" s="13"/>
      <c r="G12" s="20">
        <v>20000</v>
      </c>
      <c r="H12" s="20"/>
      <c r="I12" s="20">
        <f t="shared" ref="I12:I14" si="0">1000*$M$3</f>
        <v>1050</v>
      </c>
      <c r="J12" s="20">
        <f t="shared" ref="J12:J14" si="1">F12*G12</f>
        <v>0</v>
      </c>
      <c r="K12" s="20"/>
      <c r="L12" s="20">
        <f t="shared" ref="L12:L14" si="2">F12*I12</f>
        <v>0</v>
      </c>
      <c r="M12" s="12"/>
    </row>
    <row r="13" spans="1:13" ht="14.25" customHeight="1" outlineLevel="2" x14ac:dyDescent="0.25">
      <c r="A13" s="147"/>
      <c r="B13" s="14"/>
      <c r="C13" s="19"/>
      <c r="D13" s="22" t="s">
        <v>89</v>
      </c>
      <c r="E13" s="13" t="s">
        <v>81</v>
      </c>
      <c r="F13" s="13"/>
      <c r="G13" s="20">
        <v>25000</v>
      </c>
      <c r="H13" s="20"/>
      <c r="I13" s="20">
        <f t="shared" si="0"/>
        <v>1050</v>
      </c>
      <c r="J13" s="20">
        <f t="shared" si="1"/>
        <v>0</v>
      </c>
      <c r="K13" s="20"/>
      <c r="L13" s="20">
        <f t="shared" si="2"/>
        <v>0</v>
      </c>
      <c r="M13" s="12"/>
    </row>
    <row r="14" spans="1:13" s="90" customFormat="1" ht="31.95" customHeight="1" outlineLevel="2" x14ac:dyDescent="0.25">
      <c r="A14" s="148"/>
      <c r="B14" s="24"/>
      <c r="C14" s="29"/>
      <c r="D14" s="94" t="s">
        <v>411</v>
      </c>
      <c r="E14" s="26" t="s">
        <v>81</v>
      </c>
      <c r="F14" s="26">
        <v>1</v>
      </c>
      <c r="G14" s="28">
        <v>18000</v>
      </c>
      <c r="H14" s="28"/>
      <c r="I14" s="28">
        <f t="shared" si="0"/>
        <v>1050</v>
      </c>
      <c r="J14" s="28">
        <f t="shared" si="1"/>
        <v>18000</v>
      </c>
      <c r="K14" s="28"/>
      <c r="L14" s="28">
        <f t="shared" si="2"/>
        <v>1050</v>
      </c>
      <c r="M14" s="89"/>
    </row>
    <row r="15" spans="1:13" ht="14.25" customHeight="1" x14ac:dyDescent="0.25">
      <c r="A15" s="147"/>
      <c r="B15" s="17">
        <v>3</v>
      </c>
      <c r="C15" s="23" t="s">
        <v>347</v>
      </c>
      <c r="D15" s="21"/>
      <c r="E15" s="14"/>
      <c r="F15" s="13"/>
      <c r="G15" s="20"/>
      <c r="H15" s="20"/>
      <c r="I15" s="20"/>
      <c r="J15" s="20"/>
      <c r="K15" s="20"/>
      <c r="L15" s="20"/>
      <c r="M15" s="12"/>
    </row>
    <row r="16" spans="1:13" ht="14.25" customHeight="1" outlineLevel="1" x14ac:dyDescent="0.25">
      <c r="A16" s="147"/>
      <c r="B16" s="24">
        <v>3.1</v>
      </c>
      <c r="C16" s="25" t="s">
        <v>348</v>
      </c>
      <c r="D16" s="25"/>
      <c r="E16" s="24" t="s">
        <v>50</v>
      </c>
      <c r="F16" s="26"/>
      <c r="G16" s="20">
        <v>2000</v>
      </c>
      <c r="H16" s="20"/>
      <c r="I16" s="27">
        <f>500*$M$3</f>
        <v>525</v>
      </c>
      <c r="J16" s="28">
        <f>F16*G16</f>
        <v>0</v>
      </c>
      <c r="K16" s="20"/>
      <c r="L16" s="20">
        <f t="shared" ref="L16:L70" si="3">F16*I16</f>
        <v>0</v>
      </c>
      <c r="M16" s="12"/>
    </row>
    <row r="17" spans="1:13" ht="14.25" customHeight="1" outlineLevel="1" x14ac:dyDescent="0.25">
      <c r="A17" s="147"/>
      <c r="B17" s="24">
        <v>3.2</v>
      </c>
      <c r="C17" s="25" t="s">
        <v>349</v>
      </c>
      <c r="D17" s="25"/>
      <c r="E17" s="24" t="s">
        <v>50</v>
      </c>
      <c r="F17" s="26"/>
      <c r="G17" s="20">
        <v>20000</v>
      </c>
      <c r="H17" s="20"/>
      <c r="I17" s="27">
        <f>500*$M$3</f>
        <v>525</v>
      </c>
      <c r="J17" s="28">
        <f>F17*G17</f>
        <v>0</v>
      </c>
      <c r="K17" s="20"/>
      <c r="L17" s="20">
        <f t="shared" si="3"/>
        <v>0</v>
      </c>
      <c r="M17" s="12"/>
    </row>
    <row r="18" spans="1:13" ht="14.25" customHeight="1" outlineLevel="1" x14ac:dyDescent="0.25">
      <c r="A18" s="147"/>
      <c r="B18" s="24">
        <v>3.3</v>
      </c>
      <c r="C18" s="25" t="s">
        <v>132</v>
      </c>
      <c r="D18" s="25" t="s">
        <v>152</v>
      </c>
      <c r="E18" s="24" t="s">
        <v>50</v>
      </c>
      <c r="F18" s="26">
        <v>1</v>
      </c>
      <c r="G18" s="20">
        <v>2300</v>
      </c>
      <c r="H18" s="20"/>
      <c r="I18" s="27">
        <f>100*$M$3</f>
        <v>105</v>
      </c>
      <c r="J18" s="28">
        <f>F18*G18</f>
        <v>2300</v>
      </c>
      <c r="K18" s="20"/>
      <c r="L18" s="20">
        <f t="shared" si="3"/>
        <v>105</v>
      </c>
      <c r="M18" s="12"/>
    </row>
    <row r="19" spans="1:13" ht="14.25" customHeight="1" x14ac:dyDescent="0.25">
      <c r="A19" s="147"/>
      <c r="B19" s="17">
        <v>4</v>
      </c>
      <c r="C19" s="18" t="s">
        <v>350</v>
      </c>
      <c r="D19" s="19"/>
      <c r="E19" s="13"/>
      <c r="F19" s="13"/>
      <c r="G19" s="20"/>
      <c r="H19" s="20"/>
      <c r="I19" s="20"/>
      <c r="J19" s="20"/>
      <c r="K19" s="20"/>
      <c r="L19" s="20"/>
      <c r="M19" s="12"/>
    </row>
    <row r="20" spans="1:13" ht="14.25" customHeight="1" outlineLevel="1" x14ac:dyDescent="0.25">
      <c r="A20" s="147"/>
      <c r="B20" s="14">
        <v>4.0999999999999996</v>
      </c>
      <c r="C20" s="29" t="s">
        <v>351</v>
      </c>
      <c r="D20" s="19"/>
      <c r="E20" s="13"/>
      <c r="F20" s="13"/>
      <c r="G20" s="20"/>
      <c r="H20" s="20"/>
      <c r="I20" s="20"/>
      <c r="J20" s="20"/>
      <c r="K20" s="20"/>
      <c r="L20" s="20"/>
      <c r="M20" s="12"/>
    </row>
    <row r="21" spans="1:13" ht="14.25" customHeight="1" outlineLevel="2" x14ac:dyDescent="0.25">
      <c r="A21" s="147"/>
      <c r="B21" s="14"/>
      <c r="C21" s="29" t="s">
        <v>351</v>
      </c>
      <c r="D21" s="29" t="s">
        <v>352</v>
      </c>
      <c r="E21" s="26" t="s">
        <v>141</v>
      </c>
      <c r="F21" s="26"/>
      <c r="G21" s="20"/>
      <c r="H21" s="28">
        <f>11*$M$3</f>
        <v>11.55</v>
      </c>
      <c r="I21" s="28">
        <f>5*$M$3</f>
        <v>5.25</v>
      </c>
      <c r="J21" s="28"/>
      <c r="K21" s="20">
        <f>F21*H21</f>
        <v>0</v>
      </c>
      <c r="L21" s="20">
        <f t="shared" si="3"/>
        <v>0</v>
      </c>
      <c r="M21" s="12"/>
    </row>
    <row r="22" spans="1:13" ht="14.25" customHeight="1" outlineLevel="2" x14ac:dyDescent="0.25">
      <c r="A22" s="147"/>
      <c r="B22" s="14"/>
      <c r="C22" s="29" t="s">
        <v>353</v>
      </c>
      <c r="D22" s="29" t="s">
        <v>354</v>
      </c>
      <c r="E22" s="26" t="s">
        <v>141</v>
      </c>
      <c r="F22" s="26">
        <v>50</v>
      </c>
      <c r="G22" s="30"/>
      <c r="H22" s="28">
        <f>5*$M$3</f>
        <v>5.25</v>
      </c>
      <c r="I22" s="28">
        <f>5*$M$3</f>
        <v>5.25</v>
      </c>
      <c r="J22" s="28"/>
      <c r="K22" s="20">
        <f t="shared" ref="K22:K45" si="4">F22*H22</f>
        <v>262.5</v>
      </c>
      <c r="L22" s="20">
        <f t="shared" si="3"/>
        <v>262.5</v>
      </c>
      <c r="M22" s="12"/>
    </row>
    <row r="23" spans="1:13" ht="14.25" customHeight="1" outlineLevel="1" x14ac:dyDescent="0.25">
      <c r="A23" s="147"/>
      <c r="B23" s="14">
        <v>4.2</v>
      </c>
      <c r="C23" s="19" t="s">
        <v>162</v>
      </c>
      <c r="D23" s="19"/>
      <c r="E23" s="13"/>
      <c r="F23" s="13"/>
      <c r="G23" s="20"/>
      <c r="H23" s="20"/>
      <c r="I23" s="20"/>
      <c r="J23" s="20"/>
      <c r="K23" s="20"/>
      <c r="L23" s="20"/>
      <c r="M23" s="12"/>
    </row>
    <row r="24" spans="1:13" ht="14.25" customHeight="1" outlineLevel="2" x14ac:dyDescent="0.25">
      <c r="A24" s="147"/>
      <c r="B24" s="14"/>
      <c r="C24" s="19"/>
      <c r="D24" s="19" t="s">
        <v>165</v>
      </c>
      <c r="E24" s="13" t="s">
        <v>141</v>
      </c>
      <c r="F24" s="13"/>
      <c r="G24" s="20"/>
      <c r="H24" s="20">
        <f>55.9*$M$3</f>
        <v>58.695</v>
      </c>
      <c r="I24" s="20">
        <f>20*$M$3</f>
        <v>21</v>
      </c>
      <c r="J24" s="20"/>
      <c r="K24" s="20">
        <f t="shared" si="4"/>
        <v>0</v>
      </c>
      <c r="L24" s="20">
        <f t="shared" si="3"/>
        <v>0</v>
      </c>
      <c r="M24" s="12"/>
    </row>
    <row r="25" spans="1:13" ht="14.25" customHeight="1" outlineLevel="2" x14ac:dyDescent="0.25">
      <c r="A25" s="147"/>
      <c r="B25" s="14"/>
      <c r="C25" s="19"/>
      <c r="D25" s="19" t="s">
        <v>167</v>
      </c>
      <c r="E25" s="13" t="s">
        <v>141</v>
      </c>
      <c r="F25" s="13"/>
      <c r="G25" s="20"/>
      <c r="H25" s="20">
        <f>86.92*$M$3</f>
        <v>91.266000000000005</v>
      </c>
      <c r="I25" s="20">
        <f t="shared" ref="I25:I30" si="5">20*$M$3</f>
        <v>21</v>
      </c>
      <c r="J25" s="20"/>
      <c r="K25" s="20">
        <f t="shared" si="4"/>
        <v>0</v>
      </c>
      <c r="L25" s="20">
        <f t="shared" si="3"/>
        <v>0</v>
      </c>
      <c r="M25" s="12"/>
    </row>
    <row r="26" spans="1:13" ht="14.25" customHeight="1" outlineLevel="2" x14ac:dyDescent="0.25">
      <c r="A26" s="147"/>
      <c r="B26" s="14"/>
      <c r="C26" s="19"/>
      <c r="D26" s="19" t="s">
        <v>355</v>
      </c>
      <c r="E26" s="13" t="s">
        <v>141</v>
      </c>
      <c r="F26" s="13">
        <v>400</v>
      </c>
      <c r="G26" s="20"/>
      <c r="H26" s="28">
        <f>111.65*$M$3</f>
        <v>117.23250000000002</v>
      </c>
      <c r="I26" s="20">
        <f t="shared" si="5"/>
        <v>21</v>
      </c>
      <c r="J26" s="20"/>
      <c r="K26" s="20">
        <f t="shared" si="4"/>
        <v>46893.000000000007</v>
      </c>
      <c r="L26" s="20">
        <f t="shared" si="3"/>
        <v>8400</v>
      </c>
      <c r="M26" s="12"/>
    </row>
    <row r="27" spans="1:13" ht="14.25" customHeight="1" outlineLevel="2" x14ac:dyDescent="0.25">
      <c r="A27" s="147"/>
      <c r="B27" s="14"/>
      <c r="C27" s="19"/>
      <c r="D27" s="95" t="s">
        <v>356</v>
      </c>
      <c r="E27" s="13" t="s">
        <v>141</v>
      </c>
      <c r="F27" s="13">
        <v>20</v>
      </c>
      <c r="G27" s="20"/>
      <c r="H27" s="28">
        <f>102.32*$M$3</f>
        <v>107.43599999999999</v>
      </c>
      <c r="I27" s="20">
        <f t="shared" si="5"/>
        <v>21</v>
      </c>
      <c r="J27" s="20"/>
      <c r="K27" s="20">
        <f t="shared" si="4"/>
        <v>2148.7199999999998</v>
      </c>
      <c r="L27" s="20">
        <f t="shared" si="3"/>
        <v>420</v>
      </c>
      <c r="M27" s="12"/>
    </row>
    <row r="28" spans="1:13" ht="14.25" customHeight="1" outlineLevel="2" x14ac:dyDescent="0.25">
      <c r="A28" s="147"/>
      <c r="B28" s="14"/>
      <c r="C28" s="19"/>
      <c r="D28" s="19" t="s">
        <v>357</v>
      </c>
      <c r="E28" s="13" t="s">
        <v>141</v>
      </c>
      <c r="F28" s="26">
        <v>80</v>
      </c>
      <c r="G28" s="20"/>
      <c r="H28" s="28">
        <f>981.63*$M$3</f>
        <v>1030.7115000000001</v>
      </c>
      <c r="I28" s="20">
        <f t="shared" si="5"/>
        <v>21</v>
      </c>
      <c r="J28" s="20"/>
      <c r="K28" s="20">
        <f t="shared" si="4"/>
        <v>82456.920000000013</v>
      </c>
      <c r="L28" s="20">
        <f t="shared" si="3"/>
        <v>1680</v>
      </c>
      <c r="M28" s="12"/>
    </row>
    <row r="29" spans="1:13" ht="14.25" customHeight="1" outlineLevel="2" x14ac:dyDescent="0.25">
      <c r="A29" s="147"/>
      <c r="B29" s="14"/>
      <c r="C29" s="19"/>
      <c r="D29" s="19" t="s">
        <v>358</v>
      </c>
      <c r="E29" s="13" t="s">
        <v>141</v>
      </c>
      <c r="F29" s="26">
        <v>80</v>
      </c>
      <c r="G29" s="20"/>
      <c r="H29" s="31">
        <f>69.93*$M$3</f>
        <v>73.426500000000004</v>
      </c>
      <c r="I29" s="20">
        <f t="shared" si="5"/>
        <v>21</v>
      </c>
      <c r="J29" s="20"/>
      <c r="K29" s="20">
        <f t="shared" si="4"/>
        <v>5874.1200000000008</v>
      </c>
      <c r="L29" s="20">
        <f t="shared" si="3"/>
        <v>1680</v>
      </c>
      <c r="M29" s="12"/>
    </row>
    <row r="30" spans="1:13" ht="14.25" customHeight="1" outlineLevel="2" x14ac:dyDescent="0.25">
      <c r="A30" s="147"/>
      <c r="B30" s="14"/>
      <c r="C30" s="19"/>
      <c r="D30" s="19" t="s">
        <v>359</v>
      </c>
      <c r="E30" s="13" t="s">
        <v>141</v>
      </c>
      <c r="F30" s="26">
        <v>20</v>
      </c>
      <c r="G30" s="20"/>
      <c r="H30" s="31">
        <f>755.09*$M$3</f>
        <v>792.84450000000004</v>
      </c>
      <c r="I30" s="20">
        <f t="shared" si="5"/>
        <v>21</v>
      </c>
      <c r="J30" s="20"/>
      <c r="K30" s="20">
        <f>F30*H30</f>
        <v>15856.890000000001</v>
      </c>
      <c r="L30" s="20">
        <f>F30*I30</f>
        <v>420</v>
      </c>
      <c r="M30" s="12"/>
    </row>
    <row r="31" spans="1:13" ht="14.25" customHeight="1" outlineLevel="1" x14ac:dyDescent="0.25">
      <c r="A31" s="147"/>
      <c r="B31" s="14">
        <v>4.3</v>
      </c>
      <c r="C31" s="19" t="s">
        <v>199</v>
      </c>
      <c r="D31" s="19"/>
      <c r="E31" s="13" t="s">
        <v>50</v>
      </c>
      <c r="F31" s="13">
        <v>32</v>
      </c>
      <c r="G31" s="20"/>
      <c r="H31" s="20">
        <f>200*$M$3</f>
        <v>210</v>
      </c>
      <c r="I31" s="20">
        <f>200*$M$3</f>
        <v>210</v>
      </c>
      <c r="J31" s="20"/>
      <c r="K31" s="20">
        <f t="shared" si="4"/>
        <v>6720</v>
      </c>
      <c r="L31" s="20">
        <f t="shared" si="3"/>
        <v>6720</v>
      </c>
      <c r="M31" s="12"/>
    </row>
    <row r="32" spans="1:13" ht="14.25" customHeight="1" outlineLevel="1" x14ac:dyDescent="0.25">
      <c r="A32" s="147"/>
      <c r="B32" s="14">
        <v>4.4000000000000004</v>
      </c>
      <c r="C32" s="19" t="s">
        <v>200</v>
      </c>
      <c r="D32" s="19"/>
      <c r="E32" s="13"/>
      <c r="F32" s="13"/>
      <c r="G32" s="20"/>
      <c r="H32" s="20"/>
      <c r="I32" s="20"/>
      <c r="J32" s="20"/>
      <c r="K32" s="20"/>
      <c r="L32" s="20"/>
      <c r="M32" s="12"/>
    </row>
    <row r="33" spans="1:13" ht="16.05" customHeight="1" outlineLevel="2" x14ac:dyDescent="0.25">
      <c r="A33" s="147"/>
      <c r="B33" s="14"/>
      <c r="C33" s="19" t="s">
        <v>201</v>
      </c>
      <c r="D33" s="21" t="s">
        <v>202</v>
      </c>
      <c r="E33" s="13" t="s">
        <v>141</v>
      </c>
      <c r="F33" s="32"/>
      <c r="G33" s="20"/>
      <c r="H33" s="20">
        <f>3*$M$3</f>
        <v>3.1500000000000004</v>
      </c>
      <c r="I33" s="20">
        <f>8*$M$3</f>
        <v>8.4</v>
      </c>
      <c r="J33" s="20"/>
      <c r="K33" s="20">
        <f t="shared" si="4"/>
        <v>0</v>
      </c>
      <c r="L33" s="20">
        <f t="shared" si="3"/>
        <v>0</v>
      </c>
      <c r="M33" s="12"/>
    </row>
    <row r="34" spans="1:13" ht="16.05" customHeight="1" outlineLevel="2" x14ac:dyDescent="0.25">
      <c r="A34" s="147"/>
      <c r="B34" s="14"/>
      <c r="C34" s="19" t="s">
        <v>203</v>
      </c>
      <c r="D34" s="21" t="s">
        <v>204</v>
      </c>
      <c r="E34" s="13" t="s">
        <v>141</v>
      </c>
      <c r="F34" s="32"/>
      <c r="G34" s="20"/>
      <c r="H34" s="20">
        <f>190*$M$3</f>
        <v>199.5</v>
      </c>
      <c r="I34" s="20">
        <f>15*$M$3</f>
        <v>15.75</v>
      </c>
      <c r="J34" s="20"/>
      <c r="K34" s="20">
        <f t="shared" si="4"/>
        <v>0</v>
      </c>
      <c r="L34" s="20">
        <f t="shared" si="3"/>
        <v>0</v>
      </c>
      <c r="M34" s="12"/>
    </row>
    <row r="35" spans="1:13" ht="16.05" customHeight="1" outlineLevel="2" x14ac:dyDescent="0.25">
      <c r="A35" s="147"/>
      <c r="B35" s="14"/>
      <c r="C35" s="19" t="s">
        <v>203</v>
      </c>
      <c r="D35" s="21" t="s">
        <v>205</v>
      </c>
      <c r="E35" s="13" t="s">
        <v>141</v>
      </c>
      <c r="F35" s="13"/>
      <c r="G35" s="20"/>
      <c r="H35" s="20">
        <f>280*$M$3</f>
        <v>294</v>
      </c>
      <c r="I35" s="20">
        <f>15*$M$3</f>
        <v>15.75</v>
      </c>
      <c r="J35" s="20"/>
      <c r="K35" s="20">
        <f t="shared" si="4"/>
        <v>0</v>
      </c>
      <c r="L35" s="20">
        <f t="shared" si="3"/>
        <v>0</v>
      </c>
      <c r="M35" s="12"/>
    </row>
    <row r="36" spans="1:13" ht="16.05" customHeight="1" outlineLevel="2" x14ac:dyDescent="0.25">
      <c r="A36" s="147"/>
      <c r="B36" s="14"/>
      <c r="C36" s="19" t="s">
        <v>206</v>
      </c>
      <c r="D36" s="33" t="s">
        <v>207</v>
      </c>
      <c r="E36" s="13" t="s">
        <v>141</v>
      </c>
      <c r="F36" s="13">
        <v>60</v>
      </c>
      <c r="G36" s="20"/>
      <c r="H36" s="20">
        <f>32*$M$3</f>
        <v>33.6</v>
      </c>
      <c r="I36" s="20">
        <f>17*$M$3</f>
        <v>17.850000000000001</v>
      </c>
      <c r="J36" s="20"/>
      <c r="K36" s="20">
        <f t="shared" si="4"/>
        <v>2016</v>
      </c>
      <c r="L36" s="20">
        <f t="shared" si="3"/>
        <v>1071</v>
      </c>
      <c r="M36" s="12"/>
    </row>
    <row r="37" spans="1:13" ht="16.05" customHeight="1" outlineLevel="2" x14ac:dyDescent="0.25">
      <c r="A37" s="147"/>
      <c r="B37" s="14"/>
      <c r="C37" s="19" t="s">
        <v>206</v>
      </c>
      <c r="D37" s="33" t="s">
        <v>208</v>
      </c>
      <c r="E37" s="13" t="s">
        <v>141</v>
      </c>
      <c r="F37" s="13">
        <f>40</f>
        <v>40</v>
      </c>
      <c r="G37" s="20"/>
      <c r="H37" s="20">
        <f>60*$M$3</f>
        <v>63</v>
      </c>
      <c r="I37" s="20">
        <f>28*$M$3</f>
        <v>29.400000000000002</v>
      </c>
      <c r="J37" s="20"/>
      <c r="K37" s="20">
        <f t="shared" si="4"/>
        <v>2520</v>
      </c>
      <c r="L37" s="20">
        <f t="shared" si="3"/>
        <v>1176</v>
      </c>
      <c r="M37" s="12"/>
    </row>
    <row r="38" spans="1:13" ht="16.05" customHeight="1" outlineLevel="2" x14ac:dyDescent="0.25">
      <c r="A38" s="147"/>
      <c r="B38" s="14"/>
      <c r="C38" s="19" t="s">
        <v>206</v>
      </c>
      <c r="D38" s="33" t="s">
        <v>209</v>
      </c>
      <c r="E38" s="13" t="s">
        <v>141</v>
      </c>
      <c r="F38" s="13"/>
      <c r="G38" s="20"/>
      <c r="H38" s="20">
        <f>85*$M$3</f>
        <v>89.25</v>
      </c>
      <c r="I38" s="20">
        <f>32*$M$3</f>
        <v>33.6</v>
      </c>
      <c r="J38" s="20"/>
      <c r="K38" s="20">
        <f t="shared" si="4"/>
        <v>0</v>
      </c>
      <c r="L38" s="20">
        <f t="shared" si="3"/>
        <v>0</v>
      </c>
      <c r="M38" s="12"/>
    </row>
    <row r="39" spans="1:13" ht="16.05" customHeight="1" outlineLevel="2" x14ac:dyDescent="0.25">
      <c r="A39" s="147"/>
      <c r="B39" s="14"/>
      <c r="C39" s="19" t="s">
        <v>206</v>
      </c>
      <c r="D39" s="33" t="s">
        <v>210</v>
      </c>
      <c r="E39" s="13" t="s">
        <v>141</v>
      </c>
      <c r="F39" s="13"/>
      <c r="G39" s="20"/>
      <c r="H39" s="20">
        <f>110*$M$3</f>
        <v>115.5</v>
      </c>
      <c r="I39" s="20">
        <f>37*$M$3</f>
        <v>38.85</v>
      </c>
      <c r="J39" s="20"/>
      <c r="K39" s="20">
        <f t="shared" si="4"/>
        <v>0</v>
      </c>
      <c r="L39" s="20">
        <f t="shared" si="3"/>
        <v>0</v>
      </c>
      <c r="M39" s="12"/>
    </row>
    <row r="40" spans="1:13" ht="14.25" customHeight="1" x14ac:dyDescent="0.25">
      <c r="A40" s="147"/>
      <c r="B40" s="17">
        <v>5</v>
      </c>
      <c r="C40" s="18" t="s">
        <v>227</v>
      </c>
      <c r="D40" s="19"/>
      <c r="E40" s="13"/>
      <c r="F40" s="13"/>
      <c r="G40" s="20"/>
      <c r="H40" s="20"/>
      <c r="I40" s="20"/>
      <c r="J40" s="20"/>
      <c r="K40" s="20"/>
      <c r="L40" s="20"/>
      <c r="M40" s="12"/>
    </row>
    <row r="41" spans="1:13" ht="14.25" customHeight="1" outlineLevel="1" x14ac:dyDescent="0.25">
      <c r="A41" s="147"/>
      <c r="B41" s="14">
        <v>5.0999999999999996</v>
      </c>
      <c r="C41" s="19" t="s">
        <v>228</v>
      </c>
      <c r="D41" s="19"/>
      <c r="E41" s="13"/>
      <c r="F41" s="13"/>
      <c r="G41" s="20"/>
      <c r="H41" s="20"/>
      <c r="I41" s="20"/>
      <c r="J41" s="20"/>
      <c r="K41" s="20"/>
      <c r="L41" s="20"/>
      <c r="M41" s="12"/>
    </row>
    <row r="42" spans="1:13" ht="14.25" customHeight="1" outlineLevel="2" x14ac:dyDescent="0.25">
      <c r="A42" s="147"/>
      <c r="B42" s="14"/>
      <c r="C42" s="19" t="s">
        <v>229</v>
      </c>
      <c r="D42" s="19" t="s">
        <v>230</v>
      </c>
      <c r="E42" s="13" t="s">
        <v>141</v>
      </c>
      <c r="F42" s="13">
        <v>100</v>
      </c>
      <c r="G42" s="20"/>
      <c r="H42" s="20">
        <f>20*$M$3</f>
        <v>21</v>
      </c>
      <c r="I42" s="20">
        <f>10*$M$3</f>
        <v>10.5</v>
      </c>
      <c r="J42" s="20"/>
      <c r="K42" s="20">
        <f t="shared" si="4"/>
        <v>2100</v>
      </c>
      <c r="L42" s="20">
        <f t="shared" si="3"/>
        <v>1050</v>
      </c>
      <c r="M42" s="12"/>
    </row>
    <row r="43" spans="1:13" ht="14.25" customHeight="1" outlineLevel="2" x14ac:dyDescent="0.25">
      <c r="A43" s="147"/>
      <c r="B43" s="14"/>
      <c r="C43" s="19" t="s">
        <v>229</v>
      </c>
      <c r="D43" s="19" t="s">
        <v>231</v>
      </c>
      <c r="E43" s="13" t="s">
        <v>141</v>
      </c>
      <c r="F43" s="13"/>
      <c r="G43" s="20"/>
      <c r="H43" s="20">
        <f>24*$M$3</f>
        <v>25.200000000000003</v>
      </c>
      <c r="I43" s="20">
        <f>12*$M$3</f>
        <v>12.600000000000001</v>
      </c>
      <c r="J43" s="20"/>
      <c r="K43" s="20">
        <f t="shared" si="4"/>
        <v>0</v>
      </c>
      <c r="L43" s="20">
        <f t="shared" si="3"/>
        <v>0</v>
      </c>
      <c r="M43" s="12"/>
    </row>
    <row r="44" spans="1:13" ht="14.25" customHeight="1" outlineLevel="2" x14ac:dyDescent="0.25">
      <c r="A44" s="147"/>
      <c r="B44" s="14"/>
      <c r="C44" s="19" t="s">
        <v>232</v>
      </c>
      <c r="D44" s="19" t="s">
        <v>233</v>
      </c>
      <c r="E44" s="13" t="s">
        <v>141</v>
      </c>
      <c r="F44" s="13"/>
      <c r="G44" s="20"/>
      <c r="H44" s="20">
        <f>3.8*$M$3</f>
        <v>3.9899999999999998</v>
      </c>
      <c r="I44" s="20">
        <f>5*$M$3</f>
        <v>5.25</v>
      </c>
      <c r="J44" s="20"/>
      <c r="K44" s="20">
        <f t="shared" si="4"/>
        <v>0</v>
      </c>
      <c r="L44" s="20">
        <f t="shared" si="3"/>
        <v>0</v>
      </c>
      <c r="M44" s="12"/>
    </row>
    <row r="45" spans="1:13" ht="14.25" customHeight="1" outlineLevel="2" x14ac:dyDescent="0.25">
      <c r="A45" s="147"/>
      <c r="B45" s="14"/>
      <c r="C45" s="19" t="s">
        <v>232</v>
      </c>
      <c r="D45" s="19" t="s">
        <v>234</v>
      </c>
      <c r="E45" s="13" t="s">
        <v>141</v>
      </c>
      <c r="F45" s="13"/>
      <c r="G45" s="20"/>
      <c r="H45" s="20">
        <f>15*$M$3</f>
        <v>15.75</v>
      </c>
      <c r="I45" s="20">
        <f>5*$M$3</f>
        <v>5.25</v>
      </c>
      <c r="J45" s="20"/>
      <c r="K45" s="20">
        <f t="shared" si="4"/>
        <v>0</v>
      </c>
      <c r="L45" s="20">
        <f t="shared" si="3"/>
        <v>0</v>
      </c>
      <c r="M45" s="12"/>
    </row>
    <row r="46" spans="1:13" ht="15" customHeight="1" outlineLevel="1" x14ac:dyDescent="0.25">
      <c r="A46" s="147"/>
      <c r="B46" s="14">
        <v>5.2</v>
      </c>
      <c r="C46" s="19" t="s">
        <v>238</v>
      </c>
      <c r="D46" s="21" t="s">
        <v>360</v>
      </c>
      <c r="E46" s="13" t="s">
        <v>239</v>
      </c>
      <c r="F46" s="13">
        <v>0.4</v>
      </c>
      <c r="G46" s="20"/>
      <c r="H46" s="20"/>
      <c r="I46" s="20">
        <f>7000*$M$3</f>
        <v>7350</v>
      </c>
      <c r="J46" s="20"/>
      <c r="K46" s="20"/>
      <c r="L46" s="20">
        <f t="shared" si="3"/>
        <v>2940</v>
      </c>
      <c r="M46" s="12"/>
    </row>
    <row r="47" spans="1:13" ht="14.25" customHeight="1" outlineLevel="1" x14ac:dyDescent="0.25">
      <c r="A47" s="147"/>
      <c r="B47" s="14">
        <v>5.3</v>
      </c>
      <c r="C47" s="19" t="s">
        <v>240</v>
      </c>
      <c r="D47" s="19" t="s">
        <v>241</v>
      </c>
      <c r="E47" s="13" t="s">
        <v>50</v>
      </c>
      <c r="F47" s="13">
        <v>4</v>
      </c>
      <c r="G47" s="20"/>
      <c r="H47" s="20"/>
      <c r="I47" s="20">
        <f>500*$M$3</f>
        <v>525</v>
      </c>
      <c r="J47" s="20"/>
      <c r="K47" s="20"/>
      <c r="L47" s="20">
        <f t="shared" si="3"/>
        <v>2100</v>
      </c>
      <c r="M47" s="12"/>
    </row>
    <row r="48" spans="1:13" ht="14.25" customHeight="1" x14ac:dyDescent="0.25">
      <c r="A48" s="147"/>
      <c r="B48" s="17">
        <v>6</v>
      </c>
      <c r="C48" s="18" t="s">
        <v>256</v>
      </c>
      <c r="D48" s="19"/>
      <c r="E48" s="13"/>
      <c r="F48" s="13"/>
      <c r="G48" s="20"/>
      <c r="H48" s="20"/>
      <c r="I48" s="20"/>
      <c r="J48" s="20"/>
      <c r="K48" s="20"/>
      <c r="L48" s="20"/>
      <c r="M48" s="12"/>
    </row>
    <row r="49" spans="1:13" ht="14.25" customHeight="1" outlineLevel="1" x14ac:dyDescent="0.25">
      <c r="A49" s="147"/>
      <c r="B49" s="24">
        <v>6.1</v>
      </c>
      <c r="C49" s="29" t="s">
        <v>361</v>
      </c>
      <c r="D49" s="29" t="s">
        <v>362</v>
      </c>
      <c r="E49" s="26" t="s">
        <v>47</v>
      </c>
      <c r="F49" s="26"/>
      <c r="G49" s="28"/>
      <c r="H49" s="28"/>
      <c r="I49" s="28">
        <f>450*$M$3</f>
        <v>472.5</v>
      </c>
      <c r="J49" s="28"/>
      <c r="K49" s="20"/>
      <c r="L49" s="20">
        <f t="shared" si="3"/>
        <v>0</v>
      </c>
      <c r="M49" s="12"/>
    </row>
    <row r="50" spans="1:13" ht="14.25" customHeight="1" outlineLevel="1" x14ac:dyDescent="0.25">
      <c r="A50" s="147"/>
      <c r="B50" s="24">
        <v>6.2</v>
      </c>
      <c r="C50" s="29" t="s">
        <v>363</v>
      </c>
      <c r="D50" s="29"/>
      <c r="E50" s="26" t="s">
        <v>141</v>
      </c>
      <c r="F50" s="26"/>
      <c r="G50" s="28"/>
      <c r="H50" s="28"/>
      <c r="I50" s="28">
        <f>10*$M$3</f>
        <v>10.5</v>
      </c>
      <c r="J50" s="28"/>
      <c r="K50" s="20"/>
      <c r="L50" s="20">
        <f t="shared" si="3"/>
        <v>0</v>
      </c>
      <c r="M50" s="12"/>
    </row>
    <row r="51" spans="1:13" ht="14.25" customHeight="1" outlineLevel="1" x14ac:dyDescent="0.25">
      <c r="A51" s="147"/>
      <c r="B51" s="24">
        <v>6.3</v>
      </c>
      <c r="C51" s="29" t="s">
        <v>364</v>
      </c>
      <c r="D51" s="29" t="s">
        <v>365</v>
      </c>
      <c r="E51" s="26" t="s">
        <v>366</v>
      </c>
      <c r="F51" s="26"/>
      <c r="G51" s="28"/>
      <c r="H51" s="28"/>
      <c r="I51" s="28">
        <f>85*$M$3</f>
        <v>89.25</v>
      </c>
      <c r="J51" s="28"/>
      <c r="K51" s="20"/>
      <c r="L51" s="20">
        <f t="shared" si="3"/>
        <v>0</v>
      </c>
      <c r="M51" s="12"/>
    </row>
    <row r="52" spans="1:13" ht="14.25" customHeight="1" outlineLevel="1" x14ac:dyDescent="0.25">
      <c r="A52" s="147"/>
      <c r="B52" s="24">
        <v>6.4</v>
      </c>
      <c r="C52" s="29" t="s">
        <v>322</v>
      </c>
      <c r="D52" s="29" t="s">
        <v>367</v>
      </c>
      <c r="E52" s="26" t="s">
        <v>141</v>
      </c>
      <c r="F52" s="26">
        <v>45</v>
      </c>
      <c r="G52" s="28"/>
      <c r="H52" s="28"/>
      <c r="I52" s="28">
        <f>120*$M$3</f>
        <v>126</v>
      </c>
      <c r="J52" s="28"/>
      <c r="K52" s="20"/>
      <c r="L52" s="20">
        <f t="shared" si="3"/>
        <v>5670</v>
      </c>
      <c r="M52" s="12"/>
    </row>
    <row r="53" spans="1:13" ht="14.25" customHeight="1" x14ac:dyDescent="0.25">
      <c r="A53" s="147"/>
      <c r="B53" s="17">
        <v>7</v>
      </c>
      <c r="C53" s="18" t="s">
        <v>268</v>
      </c>
      <c r="D53" s="19"/>
      <c r="E53" s="13"/>
      <c r="F53" s="13"/>
      <c r="G53" s="20"/>
      <c r="H53" s="20"/>
      <c r="I53" s="20"/>
      <c r="J53" s="20"/>
      <c r="K53" s="20"/>
      <c r="L53" s="20"/>
      <c r="M53" s="12"/>
    </row>
    <row r="54" spans="1:13" ht="14.25" customHeight="1" outlineLevel="1" x14ac:dyDescent="0.25">
      <c r="A54" s="147"/>
      <c r="B54" s="24">
        <v>7.1</v>
      </c>
      <c r="C54" s="29" t="s">
        <v>269</v>
      </c>
      <c r="D54" s="29" t="s">
        <v>270</v>
      </c>
      <c r="E54" s="26" t="s">
        <v>47</v>
      </c>
      <c r="F54" s="26"/>
      <c r="G54" s="28"/>
      <c r="H54" s="28"/>
      <c r="I54" s="28">
        <f>3000*$M$3</f>
        <v>3150</v>
      </c>
      <c r="J54" s="28"/>
      <c r="K54" s="20"/>
      <c r="L54" s="20">
        <f t="shared" si="3"/>
        <v>0</v>
      </c>
      <c r="M54" s="12"/>
    </row>
    <row r="55" spans="1:13" ht="14.25" customHeight="1" outlineLevel="1" x14ac:dyDescent="0.25">
      <c r="A55" s="147"/>
      <c r="B55" s="24">
        <v>7.2</v>
      </c>
      <c r="C55" s="29" t="s">
        <v>368</v>
      </c>
      <c r="D55" s="29"/>
      <c r="E55" s="26" t="s">
        <v>47</v>
      </c>
      <c r="F55" s="26">
        <v>1</v>
      </c>
      <c r="G55" s="28"/>
      <c r="H55" s="28"/>
      <c r="I55" s="20">
        <f>2000*$M$3</f>
        <v>2100</v>
      </c>
      <c r="J55" s="28"/>
      <c r="K55" s="20"/>
      <c r="L55" s="20">
        <f t="shared" si="3"/>
        <v>2100</v>
      </c>
      <c r="M55" s="12"/>
    </row>
    <row r="56" spans="1:13" ht="14.25" customHeight="1" outlineLevel="1" x14ac:dyDescent="0.25">
      <c r="A56" s="147"/>
      <c r="B56" s="24">
        <v>7.3</v>
      </c>
      <c r="C56" s="29" t="s">
        <v>369</v>
      </c>
      <c r="D56" s="29"/>
      <c r="E56" s="26"/>
      <c r="F56" s="26"/>
      <c r="G56" s="28"/>
      <c r="H56" s="28"/>
      <c r="I56" s="28"/>
      <c r="J56" s="28"/>
      <c r="K56" s="20"/>
      <c r="L56" s="20"/>
      <c r="M56" s="12"/>
    </row>
    <row r="57" spans="1:13" ht="14.25" customHeight="1" outlineLevel="2" x14ac:dyDescent="0.25">
      <c r="A57" s="147"/>
      <c r="B57" s="24"/>
      <c r="C57" s="29" t="s">
        <v>370</v>
      </c>
      <c r="D57" s="29" t="s">
        <v>371</v>
      </c>
      <c r="E57" s="26" t="s">
        <v>47</v>
      </c>
      <c r="F57" s="26"/>
      <c r="G57" s="28"/>
      <c r="H57" s="28"/>
      <c r="I57" s="28">
        <f>1500*$M$3</f>
        <v>1575</v>
      </c>
      <c r="J57" s="28"/>
      <c r="K57" s="20"/>
      <c r="L57" s="20">
        <f t="shared" si="3"/>
        <v>0</v>
      </c>
      <c r="M57" s="12"/>
    </row>
    <row r="58" spans="1:13" ht="14.25" customHeight="1" outlineLevel="2" x14ac:dyDescent="0.25">
      <c r="A58" s="147"/>
      <c r="B58" s="34"/>
      <c r="C58" s="29" t="s">
        <v>370</v>
      </c>
      <c r="D58" s="29" t="s">
        <v>344</v>
      </c>
      <c r="E58" s="26" t="s">
        <v>47</v>
      </c>
      <c r="F58" s="26">
        <v>1</v>
      </c>
      <c r="G58" s="28"/>
      <c r="H58" s="28"/>
      <c r="I58" s="28">
        <f>2000*$M$3</f>
        <v>2100</v>
      </c>
      <c r="J58" s="28"/>
      <c r="K58" s="20"/>
      <c r="L58" s="20">
        <f t="shared" si="3"/>
        <v>2100</v>
      </c>
      <c r="M58" s="12"/>
    </row>
    <row r="59" spans="1:13" ht="14.25" customHeight="1" outlineLevel="2" x14ac:dyDescent="0.25">
      <c r="A59" s="147"/>
      <c r="B59" s="34"/>
      <c r="C59" s="29" t="s">
        <v>370</v>
      </c>
      <c r="D59" s="29" t="s">
        <v>372</v>
      </c>
      <c r="E59" s="26" t="s">
        <v>47</v>
      </c>
      <c r="F59" s="26"/>
      <c r="G59" s="28"/>
      <c r="H59" s="28"/>
      <c r="I59" s="28">
        <f>3000*$M$3</f>
        <v>3150</v>
      </c>
      <c r="J59" s="28"/>
      <c r="K59" s="20"/>
      <c r="L59" s="20">
        <f t="shared" si="3"/>
        <v>0</v>
      </c>
      <c r="M59" s="12"/>
    </row>
    <row r="60" spans="1:13" ht="14.25" customHeight="1" outlineLevel="2" x14ac:dyDescent="0.25">
      <c r="A60" s="147"/>
      <c r="B60" s="34"/>
      <c r="C60" s="29" t="s">
        <v>373</v>
      </c>
      <c r="D60" s="29" t="s">
        <v>374</v>
      </c>
      <c r="E60" s="26" t="s">
        <v>47</v>
      </c>
      <c r="F60" s="26">
        <v>1</v>
      </c>
      <c r="G60" s="28"/>
      <c r="H60" s="28"/>
      <c r="I60" s="28">
        <f>6000*$M$3</f>
        <v>6300</v>
      </c>
      <c r="J60" s="28"/>
      <c r="K60" s="20"/>
      <c r="L60" s="20">
        <f t="shared" si="3"/>
        <v>6300</v>
      </c>
      <c r="M60" s="12"/>
    </row>
    <row r="61" spans="1:13" ht="14.25" customHeight="1" x14ac:dyDescent="0.25">
      <c r="A61" s="147"/>
      <c r="B61" s="17">
        <v>8</v>
      </c>
      <c r="C61" s="18" t="s">
        <v>280</v>
      </c>
      <c r="D61" s="19"/>
      <c r="E61" s="13"/>
      <c r="F61" s="13"/>
      <c r="G61" s="20"/>
      <c r="H61" s="20"/>
      <c r="I61" s="20"/>
      <c r="J61" s="20"/>
      <c r="K61" s="20"/>
      <c r="L61" s="20"/>
      <c r="M61" s="12"/>
    </row>
    <row r="62" spans="1:13" ht="14.25" customHeight="1" outlineLevel="1" x14ac:dyDescent="0.25">
      <c r="A62" s="147"/>
      <c r="B62" s="14">
        <v>8.1</v>
      </c>
      <c r="C62" s="19" t="s">
        <v>281</v>
      </c>
      <c r="D62" s="19"/>
      <c r="E62" s="13" t="s">
        <v>141</v>
      </c>
      <c r="F62" s="13">
        <v>20</v>
      </c>
      <c r="G62" s="20"/>
      <c r="H62" s="20"/>
      <c r="I62" s="20">
        <f>230*$M$3</f>
        <v>241.5</v>
      </c>
      <c r="J62" s="20"/>
      <c r="K62" s="20"/>
      <c r="L62" s="20">
        <f t="shared" si="3"/>
        <v>4830</v>
      </c>
      <c r="M62" s="12"/>
    </row>
    <row r="63" spans="1:13" ht="14.25" customHeight="1" outlineLevel="1" x14ac:dyDescent="0.25">
      <c r="A63" s="147"/>
      <c r="B63" s="14">
        <v>8.1999999999999993</v>
      </c>
      <c r="C63" s="19" t="s">
        <v>282</v>
      </c>
      <c r="D63" s="19" t="s">
        <v>375</v>
      </c>
      <c r="E63" s="13" t="s">
        <v>141</v>
      </c>
      <c r="F63" s="13"/>
      <c r="G63" s="20"/>
      <c r="H63" s="20"/>
      <c r="I63" s="20">
        <f>500*$M$3</f>
        <v>525</v>
      </c>
      <c r="J63" s="20"/>
      <c r="K63" s="20"/>
      <c r="L63" s="20">
        <f t="shared" si="3"/>
        <v>0</v>
      </c>
      <c r="M63" s="12"/>
    </row>
    <row r="64" spans="1:13" ht="14.25" customHeight="1" outlineLevel="1" x14ac:dyDescent="0.25">
      <c r="A64" s="147"/>
      <c r="B64" s="14">
        <v>8.3000000000000007</v>
      </c>
      <c r="C64" s="19" t="s">
        <v>285</v>
      </c>
      <c r="D64" s="19" t="s">
        <v>331</v>
      </c>
      <c r="E64" s="13" t="s">
        <v>141</v>
      </c>
      <c r="F64" s="13">
        <v>20</v>
      </c>
      <c r="G64" s="20"/>
      <c r="H64" s="20"/>
      <c r="I64" s="20">
        <f>40*$M$3</f>
        <v>42</v>
      </c>
      <c r="J64" s="20"/>
      <c r="K64" s="20"/>
      <c r="L64" s="20">
        <f t="shared" si="3"/>
        <v>840</v>
      </c>
      <c r="M64" s="12"/>
    </row>
    <row r="65" spans="1:13" ht="14.25" customHeight="1" x14ac:dyDescent="0.25">
      <c r="A65" s="147"/>
      <c r="B65" s="17">
        <v>9</v>
      </c>
      <c r="C65" s="18" t="s">
        <v>332</v>
      </c>
      <c r="D65" s="19" t="s">
        <v>333</v>
      </c>
      <c r="E65" s="13" t="s">
        <v>267</v>
      </c>
      <c r="F65" s="13"/>
      <c r="G65" s="20"/>
      <c r="H65" s="20"/>
      <c r="I65" s="20">
        <f>40*$M$3</f>
        <v>42</v>
      </c>
      <c r="J65" s="20"/>
      <c r="K65" s="20"/>
      <c r="L65" s="20">
        <f t="shared" si="3"/>
        <v>0</v>
      </c>
      <c r="M65" s="12"/>
    </row>
    <row r="66" spans="1:13" s="90" customFormat="1" ht="14.25" customHeight="1" x14ac:dyDescent="0.25">
      <c r="A66" s="148"/>
      <c r="B66" s="34">
        <v>10</v>
      </c>
      <c r="C66" s="58" t="s">
        <v>376</v>
      </c>
      <c r="D66" s="96" t="s">
        <v>408</v>
      </c>
      <c r="E66" s="26" t="s">
        <v>267</v>
      </c>
      <c r="F66" s="26">
        <v>1300</v>
      </c>
      <c r="G66" s="28"/>
      <c r="H66" s="28"/>
      <c r="I66" s="28">
        <f>150*$M$3</f>
        <v>157.5</v>
      </c>
      <c r="J66" s="28"/>
      <c r="K66" s="28"/>
      <c r="L66" s="28">
        <f t="shared" si="3"/>
        <v>204750</v>
      </c>
      <c r="M66" s="89"/>
    </row>
    <row r="67" spans="1:13" ht="14.25" customHeight="1" x14ac:dyDescent="0.25">
      <c r="A67" s="147"/>
      <c r="B67" s="17">
        <v>11</v>
      </c>
      <c r="C67" s="18" t="s">
        <v>377</v>
      </c>
      <c r="D67" s="19"/>
      <c r="E67" s="13"/>
      <c r="F67" s="13"/>
      <c r="G67" s="20"/>
      <c r="H67" s="20"/>
      <c r="I67" s="20"/>
      <c r="J67" s="20"/>
      <c r="K67" s="20"/>
      <c r="L67" s="20"/>
      <c r="M67" s="12"/>
    </row>
    <row r="68" spans="1:13" ht="14.25" customHeight="1" outlineLevel="1" x14ac:dyDescent="0.25">
      <c r="A68" s="147"/>
      <c r="B68" s="14">
        <v>11.1</v>
      </c>
      <c r="C68" s="19" t="s">
        <v>378</v>
      </c>
      <c r="D68" s="30"/>
      <c r="E68" s="13" t="s">
        <v>137</v>
      </c>
      <c r="F68" s="35"/>
      <c r="G68" s="20"/>
      <c r="H68" s="20"/>
      <c r="I68" s="28">
        <f>2000*$M$3</f>
        <v>2100</v>
      </c>
      <c r="J68" s="20"/>
      <c r="K68" s="20"/>
      <c r="L68" s="20">
        <f t="shared" si="3"/>
        <v>0</v>
      </c>
      <c r="M68" s="12"/>
    </row>
    <row r="69" spans="1:13" ht="14.25" customHeight="1" outlineLevel="1" x14ac:dyDescent="0.25">
      <c r="A69" s="147"/>
      <c r="B69" s="14">
        <v>11.2</v>
      </c>
      <c r="C69" s="19" t="s">
        <v>379</v>
      </c>
      <c r="D69" s="30"/>
      <c r="E69" s="13" t="s">
        <v>137</v>
      </c>
      <c r="F69" s="35"/>
      <c r="G69" s="20"/>
      <c r="H69" s="20"/>
      <c r="I69" s="28">
        <f>200*$M$3</f>
        <v>210</v>
      </c>
      <c r="J69" s="20"/>
      <c r="K69" s="20"/>
      <c r="L69" s="20">
        <f t="shared" si="3"/>
        <v>0</v>
      </c>
      <c r="M69" s="12"/>
    </row>
    <row r="70" spans="1:13" ht="14.25" customHeight="1" outlineLevel="1" x14ac:dyDescent="0.25">
      <c r="A70" s="147"/>
      <c r="B70" s="14">
        <v>11.3</v>
      </c>
      <c r="C70" s="19" t="s">
        <v>380</v>
      </c>
      <c r="D70" s="30"/>
      <c r="E70" s="13" t="s">
        <v>137</v>
      </c>
      <c r="F70" s="35"/>
      <c r="G70" s="20"/>
      <c r="H70" s="20"/>
      <c r="I70" s="28">
        <f>100*$M$3</f>
        <v>105</v>
      </c>
      <c r="J70" s="20"/>
      <c r="K70" s="20"/>
      <c r="L70" s="20">
        <f t="shared" si="3"/>
        <v>0</v>
      </c>
      <c r="M70" s="12"/>
    </row>
    <row r="71" spans="1:13" ht="14.25" customHeight="1" x14ac:dyDescent="0.25">
      <c r="A71" s="147"/>
      <c r="B71" s="140" t="s">
        <v>300</v>
      </c>
      <c r="C71" s="141"/>
      <c r="D71" s="141"/>
      <c r="E71" s="141"/>
      <c r="F71" s="141"/>
      <c r="G71" s="141"/>
      <c r="H71" s="141"/>
      <c r="I71" s="142"/>
      <c r="J71" s="36">
        <f>SUM(J5:J70)</f>
        <v>618300</v>
      </c>
      <c r="K71" s="36">
        <f>SUM(K5:K70)</f>
        <v>166848.15000000002</v>
      </c>
      <c r="L71" s="36">
        <f>SUM(L5:L70)*1.1</f>
        <v>291048.45</v>
      </c>
      <c r="M71" s="12"/>
    </row>
    <row r="72" spans="1:13" ht="15" customHeight="1" x14ac:dyDescent="0.25">
      <c r="A72" s="131" t="s">
        <v>11</v>
      </c>
      <c r="B72" s="17">
        <v>12</v>
      </c>
      <c r="C72" s="37" t="s">
        <v>11</v>
      </c>
      <c r="D72" s="19"/>
      <c r="E72" s="13"/>
      <c r="F72" s="13"/>
      <c r="G72" s="20"/>
      <c r="H72" s="20"/>
      <c r="I72" s="20"/>
      <c r="J72" s="20"/>
      <c r="K72" s="20"/>
      <c r="L72" s="20"/>
      <c r="M72" s="12"/>
    </row>
    <row r="73" spans="1:13" ht="12" outlineLevel="1" x14ac:dyDescent="0.25">
      <c r="A73" s="133"/>
      <c r="B73" s="14">
        <v>12.1</v>
      </c>
      <c r="C73" s="19"/>
      <c r="D73" s="19"/>
      <c r="E73" s="13"/>
      <c r="F73" s="13"/>
      <c r="G73" s="20"/>
      <c r="H73" s="20"/>
      <c r="I73" s="20"/>
      <c r="J73" s="20"/>
      <c r="K73" s="20"/>
      <c r="L73" s="20">
        <f>F73*I73</f>
        <v>0</v>
      </c>
      <c r="M73" s="12"/>
    </row>
  </sheetData>
  <mergeCells count="12">
    <mergeCell ref="A1:L1"/>
    <mergeCell ref="G2:I2"/>
    <mergeCell ref="J2:L2"/>
    <mergeCell ref="B71:I71"/>
    <mergeCell ref="A2:A3"/>
    <mergeCell ref="A4:A71"/>
    <mergeCell ref="F2:F3"/>
    <mergeCell ref="A72:A73"/>
    <mergeCell ref="B2:B3"/>
    <mergeCell ref="C2:C3"/>
    <mergeCell ref="D2:D3"/>
    <mergeCell ref="E2:E3"/>
  </mergeCells>
  <phoneticPr fontId="23" type="noConversion"/>
  <conditionalFormatting sqref="J2:L2 J3:K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{EF4386EA-A6B2-479F-BACB-BA0A7F97DFB8}</x14:id>
        </ext>
      </extLst>
    </cfRule>
  </conditionalFormatting>
  <pageMargins left="0.75" right="0.75" top="1" bottom="1" header="0.51" footer="0.51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4386EA-A6B2-479F-BACB-BA0A7F97DFB8}">
            <x14:dataBar minLength="0" maxLength="100" negativeBarColorSameAsPositive="1" axisPosition="none">
              <x14:cfvo type="min"/>
              <x14:cfvo type="max"/>
            </x14:dataBar>
          </x14:cfRule>
          <xm:sqref>J2:L2 J3:K3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6"/>
  <sheetViews>
    <sheetView workbookViewId="0">
      <selection activeCell="D9" sqref="D9"/>
    </sheetView>
  </sheetViews>
  <sheetFormatPr defaultColWidth="9" defaultRowHeight="13.8" x14ac:dyDescent="0.25"/>
  <cols>
    <col min="1" max="1" width="8.6640625" style="1"/>
    <col min="2" max="6" width="19.77734375" style="1" customWidth="1"/>
    <col min="7" max="257" width="8.6640625" style="1"/>
    <col min="258" max="262" width="19.77734375" style="1" customWidth="1"/>
    <col min="263" max="513" width="8.6640625" style="1"/>
    <col min="514" max="518" width="19.77734375" style="1" customWidth="1"/>
    <col min="519" max="769" width="8.6640625" style="1"/>
    <col min="770" max="774" width="19.77734375" style="1" customWidth="1"/>
    <col min="775" max="1025" width="8.6640625" style="1"/>
    <col min="1026" max="1030" width="19.77734375" style="1" customWidth="1"/>
    <col min="1031" max="1281" width="8.6640625" style="1"/>
    <col min="1282" max="1286" width="19.77734375" style="1" customWidth="1"/>
    <col min="1287" max="1537" width="8.6640625" style="1"/>
    <col min="1538" max="1542" width="19.77734375" style="1" customWidth="1"/>
    <col min="1543" max="1793" width="8.6640625" style="1"/>
    <col min="1794" max="1798" width="19.77734375" style="1" customWidth="1"/>
    <col min="1799" max="2049" width="8.6640625" style="1"/>
    <col min="2050" max="2054" width="19.77734375" style="1" customWidth="1"/>
    <col min="2055" max="2305" width="8.6640625" style="1"/>
    <col min="2306" max="2310" width="19.77734375" style="1" customWidth="1"/>
    <col min="2311" max="2561" width="8.6640625" style="1"/>
    <col min="2562" max="2566" width="19.77734375" style="1" customWidth="1"/>
    <col min="2567" max="2817" width="8.6640625" style="1"/>
    <col min="2818" max="2822" width="19.77734375" style="1" customWidth="1"/>
    <col min="2823" max="3073" width="8.6640625" style="1"/>
    <col min="3074" max="3078" width="19.77734375" style="1" customWidth="1"/>
    <col min="3079" max="3329" width="8.6640625" style="1"/>
    <col min="3330" max="3334" width="19.77734375" style="1" customWidth="1"/>
    <col min="3335" max="3585" width="8.6640625" style="1"/>
    <col min="3586" max="3590" width="19.77734375" style="1" customWidth="1"/>
    <col min="3591" max="3841" width="8.6640625" style="1"/>
    <col min="3842" max="3846" width="19.77734375" style="1" customWidth="1"/>
    <col min="3847" max="4097" width="8.6640625" style="1"/>
    <col min="4098" max="4102" width="19.77734375" style="1" customWidth="1"/>
    <col min="4103" max="4353" width="8.6640625" style="1"/>
    <col min="4354" max="4358" width="19.77734375" style="1" customWidth="1"/>
    <col min="4359" max="4609" width="8.6640625" style="1"/>
    <col min="4610" max="4614" width="19.77734375" style="1" customWidth="1"/>
    <col min="4615" max="4865" width="8.6640625" style="1"/>
    <col min="4866" max="4870" width="19.77734375" style="1" customWidth="1"/>
    <col min="4871" max="5121" width="8.6640625" style="1"/>
    <col min="5122" max="5126" width="19.77734375" style="1" customWidth="1"/>
    <col min="5127" max="5377" width="8.6640625" style="1"/>
    <col min="5378" max="5382" width="19.77734375" style="1" customWidth="1"/>
    <col min="5383" max="5633" width="8.6640625" style="1"/>
    <col min="5634" max="5638" width="19.77734375" style="1" customWidth="1"/>
    <col min="5639" max="5889" width="8.6640625" style="1"/>
    <col min="5890" max="5894" width="19.77734375" style="1" customWidth="1"/>
    <col min="5895" max="6145" width="8.6640625" style="1"/>
    <col min="6146" max="6150" width="19.77734375" style="1" customWidth="1"/>
    <col min="6151" max="6401" width="8.6640625" style="1"/>
    <col min="6402" max="6406" width="19.77734375" style="1" customWidth="1"/>
    <col min="6407" max="6657" width="8.6640625" style="1"/>
    <col min="6658" max="6662" width="19.77734375" style="1" customWidth="1"/>
    <col min="6663" max="6913" width="8.6640625" style="1"/>
    <col min="6914" max="6918" width="19.77734375" style="1" customWidth="1"/>
    <col min="6919" max="7169" width="8.6640625" style="1"/>
    <col min="7170" max="7174" width="19.77734375" style="1" customWidth="1"/>
    <col min="7175" max="7425" width="8.6640625" style="1"/>
    <col min="7426" max="7430" width="19.77734375" style="1" customWidth="1"/>
    <col min="7431" max="7681" width="8.6640625" style="1"/>
    <col min="7682" max="7686" width="19.77734375" style="1" customWidth="1"/>
    <col min="7687" max="7937" width="8.6640625" style="1"/>
    <col min="7938" max="7942" width="19.77734375" style="1" customWidth="1"/>
    <col min="7943" max="8193" width="8.6640625" style="1"/>
    <col min="8194" max="8198" width="19.77734375" style="1" customWidth="1"/>
    <col min="8199" max="8449" width="8.6640625" style="1"/>
    <col min="8450" max="8454" width="19.77734375" style="1" customWidth="1"/>
    <col min="8455" max="8705" width="8.6640625" style="1"/>
    <col min="8706" max="8710" width="19.77734375" style="1" customWidth="1"/>
    <col min="8711" max="8961" width="8.6640625" style="1"/>
    <col min="8962" max="8966" width="19.77734375" style="1" customWidth="1"/>
    <col min="8967" max="9217" width="8.6640625" style="1"/>
    <col min="9218" max="9222" width="19.77734375" style="1" customWidth="1"/>
    <col min="9223" max="9473" width="8.6640625" style="1"/>
    <col min="9474" max="9478" width="19.77734375" style="1" customWidth="1"/>
    <col min="9479" max="9729" width="8.6640625" style="1"/>
    <col min="9730" max="9734" width="19.77734375" style="1" customWidth="1"/>
    <col min="9735" max="9985" width="8.6640625" style="1"/>
    <col min="9986" max="9990" width="19.77734375" style="1" customWidth="1"/>
    <col min="9991" max="10241" width="8.6640625" style="1"/>
    <col min="10242" max="10246" width="19.77734375" style="1" customWidth="1"/>
    <col min="10247" max="10497" width="8.6640625" style="1"/>
    <col min="10498" max="10502" width="19.77734375" style="1" customWidth="1"/>
    <col min="10503" max="10753" width="8.6640625" style="1"/>
    <col min="10754" max="10758" width="19.77734375" style="1" customWidth="1"/>
    <col min="10759" max="11009" width="8.6640625" style="1"/>
    <col min="11010" max="11014" width="19.77734375" style="1" customWidth="1"/>
    <col min="11015" max="11265" width="8.6640625" style="1"/>
    <col min="11266" max="11270" width="19.77734375" style="1" customWidth="1"/>
    <col min="11271" max="11521" width="8.6640625" style="1"/>
    <col min="11522" max="11526" width="19.77734375" style="1" customWidth="1"/>
    <col min="11527" max="11777" width="8.6640625" style="1"/>
    <col min="11778" max="11782" width="19.77734375" style="1" customWidth="1"/>
    <col min="11783" max="12033" width="8.6640625" style="1"/>
    <col min="12034" max="12038" width="19.77734375" style="1" customWidth="1"/>
    <col min="12039" max="12289" width="8.6640625" style="1"/>
    <col min="12290" max="12294" width="19.77734375" style="1" customWidth="1"/>
    <col min="12295" max="12545" width="8.6640625" style="1"/>
    <col min="12546" max="12550" width="19.77734375" style="1" customWidth="1"/>
    <col min="12551" max="12801" width="8.6640625" style="1"/>
    <col min="12802" max="12806" width="19.77734375" style="1" customWidth="1"/>
    <col min="12807" max="13057" width="8.6640625" style="1"/>
    <col min="13058" max="13062" width="19.77734375" style="1" customWidth="1"/>
    <col min="13063" max="13313" width="8.6640625" style="1"/>
    <col min="13314" max="13318" width="19.77734375" style="1" customWidth="1"/>
    <col min="13319" max="13569" width="8.6640625" style="1"/>
    <col min="13570" max="13574" width="19.77734375" style="1" customWidth="1"/>
    <col min="13575" max="13825" width="8.6640625" style="1"/>
    <col min="13826" max="13830" width="19.77734375" style="1" customWidth="1"/>
    <col min="13831" max="14081" width="8.6640625" style="1"/>
    <col min="14082" max="14086" width="19.77734375" style="1" customWidth="1"/>
    <col min="14087" max="14337" width="8.6640625" style="1"/>
    <col min="14338" max="14342" width="19.77734375" style="1" customWidth="1"/>
    <col min="14343" max="14593" width="8.6640625" style="1"/>
    <col min="14594" max="14598" width="19.77734375" style="1" customWidth="1"/>
    <col min="14599" max="14849" width="8.6640625" style="1"/>
    <col min="14850" max="14854" width="19.77734375" style="1" customWidth="1"/>
    <col min="14855" max="15105" width="8.6640625" style="1"/>
    <col min="15106" max="15110" width="19.77734375" style="1" customWidth="1"/>
    <col min="15111" max="15361" width="8.6640625" style="1"/>
    <col min="15362" max="15366" width="19.77734375" style="1" customWidth="1"/>
    <col min="15367" max="15617" width="8.6640625" style="1"/>
    <col min="15618" max="15622" width="19.77734375" style="1" customWidth="1"/>
    <col min="15623" max="15873" width="8.6640625" style="1"/>
    <col min="15874" max="15878" width="19.77734375" style="1" customWidth="1"/>
    <col min="15879" max="16129" width="8.6640625" style="1"/>
    <col min="16130" max="16134" width="19.77734375" style="1" customWidth="1"/>
    <col min="16135" max="16384" width="8.6640625" style="1"/>
  </cols>
  <sheetData>
    <row r="1" spans="2:11" ht="24.45" customHeight="1" x14ac:dyDescent="0.25">
      <c r="B1" s="151" t="s">
        <v>381</v>
      </c>
      <c r="C1" s="151"/>
      <c r="D1" s="151"/>
      <c r="E1" s="151"/>
      <c r="F1" s="151"/>
    </row>
    <row r="2" spans="2:11" ht="32.549999999999997" customHeight="1" x14ac:dyDescent="0.25">
      <c r="B2" s="2" t="s">
        <v>382</v>
      </c>
      <c r="C2" s="2" t="s">
        <v>383</v>
      </c>
      <c r="D2" s="2" t="s">
        <v>384</v>
      </c>
      <c r="E2" s="2" t="s">
        <v>385</v>
      </c>
      <c r="F2" s="2" t="s">
        <v>386</v>
      </c>
    </row>
    <row r="3" spans="2:11" ht="32.549999999999997" customHeight="1" x14ac:dyDescent="0.25">
      <c r="B3" s="2" t="s">
        <v>387</v>
      </c>
      <c r="C3" s="3">
        <v>1.1000000000000001</v>
      </c>
      <c r="D3" s="2">
        <v>1.05</v>
      </c>
      <c r="E3" s="2">
        <v>1</v>
      </c>
      <c r="F3" s="2">
        <v>0.95</v>
      </c>
    </row>
    <row r="4" spans="2:11" ht="32.549999999999997" customHeight="1" x14ac:dyDescent="0.25">
      <c r="B4" s="4"/>
      <c r="C4" s="5"/>
      <c r="D4" s="5"/>
      <c r="E4" s="4"/>
      <c r="F4" s="4"/>
    </row>
    <row r="5" spans="2:11" ht="32.549999999999997" customHeight="1" x14ac:dyDescent="0.25">
      <c r="B5" s="2" t="s">
        <v>388</v>
      </c>
      <c r="C5" s="2" t="s">
        <v>389</v>
      </c>
      <c r="D5" s="2" t="s">
        <v>390</v>
      </c>
      <c r="E5" s="2" t="s">
        <v>391</v>
      </c>
      <c r="F5" s="2" t="s">
        <v>392</v>
      </c>
    </row>
    <row r="6" spans="2:11" ht="32.549999999999997" customHeight="1" x14ac:dyDescent="0.25">
      <c r="B6" s="2" t="s">
        <v>387</v>
      </c>
      <c r="C6" s="3">
        <v>1.1000000000000001</v>
      </c>
      <c r="D6" s="2">
        <v>1.05</v>
      </c>
      <c r="E6" s="2">
        <v>1</v>
      </c>
      <c r="F6" s="2">
        <v>0.95</v>
      </c>
    </row>
    <row r="7" spans="2:11" ht="32.549999999999997" customHeight="1" x14ac:dyDescent="0.25">
      <c r="B7" s="6"/>
      <c r="C7" s="6"/>
      <c r="D7" s="6"/>
      <c r="E7" s="6"/>
      <c r="F7" s="6"/>
    </row>
    <row r="8" spans="2:11" ht="32.549999999999997" customHeight="1" x14ac:dyDescent="0.25">
      <c r="B8" s="2" t="s">
        <v>393</v>
      </c>
      <c r="C8" s="2" t="s">
        <v>394</v>
      </c>
      <c r="D8" s="2" t="s">
        <v>395</v>
      </c>
      <c r="E8" s="2" t="s">
        <v>396</v>
      </c>
      <c r="F8" s="2" t="s">
        <v>397</v>
      </c>
      <c r="K8" s="6"/>
    </row>
    <row r="9" spans="2:11" ht="32.549999999999997" customHeight="1" x14ac:dyDescent="0.25">
      <c r="B9" s="2" t="s">
        <v>387</v>
      </c>
      <c r="C9" s="3">
        <v>1.1000000000000001</v>
      </c>
      <c r="D9" s="2">
        <v>1.05</v>
      </c>
      <c r="E9" s="2">
        <v>1</v>
      </c>
      <c r="F9" s="2">
        <v>0.95</v>
      </c>
    </row>
    <row r="10" spans="2:11" ht="32.549999999999997" customHeight="1" x14ac:dyDescent="0.25">
      <c r="B10" s="6"/>
      <c r="C10" s="6"/>
      <c r="D10" s="6"/>
      <c r="E10" s="6"/>
      <c r="F10" s="6"/>
    </row>
    <row r="11" spans="2:11" ht="32.549999999999997" customHeight="1" x14ac:dyDescent="0.25">
      <c r="B11" s="2" t="s">
        <v>398</v>
      </c>
      <c r="C11" s="2" t="s">
        <v>399</v>
      </c>
      <c r="D11" s="2" t="s">
        <v>400</v>
      </c>
      <c r="E11" s="2" t="s">
        <v>401</v>
      </c>
      <c r="F11" s="2" t="s">
        <v>402</v>
      </c>
    </row>
    <row r="12" spans="2:11" ht="32.549999999999997" customHeight="1" x14ac:dyDescent="0.25">
      <c r="B12" s="2" t="s">
        <v>387</v>
      </c>
      <c r="C12" s="2">
        <v>1.1000000000000001</v>
      </c>
      <c r="D12" s="2">
        <v>1</v>
      </c>
      <c r="E12" s="2">
        <v>1.05</v>
      </c>
      <c r="F12" s="2">
        <v>1.1000000000000001</v>
      </c>
    </row>
    <row r="13" spans="2:11" ht="14.4" x14ac:dyDescent="0.25">
      <c r="B13" s="4" t="s">
        <v>399</v>
      </c>
      <c r="C13" s="6" t="s">
        <v>403</v>
      </c>
      <c r="D13" s="6"/>
      <c r="E13" s="6"/>
      <c r="F13" s="6"/>
    </row>
    <row r="14" spans="2:11" ht="14.4" x14ac:dyDescent="0.25">
      <c r="B14" s="4" t="s">
        <v>400</v>
      </c>
      <c r="C14" s="6" t="s">
        <v>404</v>
      </c>
      <c r="D14" s="6"/>
      <c r="E14" s="6"/>
      <c r="F14" s="6"/>
    </row>
    <row r="15" spans="2:11" ht="14.4" x14ac:dyDescent="0.25">
      <c r="B15" s="4" t="s">
        <v>401</v>
      </c>
      <c r="C15" s="6" t="s">
        <v>405</v>
      </c>
      <c r="D15" s="6"/>
      <c r="E15" s="6"/>
      <c r="F15" s="6"/>
    </row>
    <row r="16" spans="2:11" ht="14.4" x14ac:dyDescent="0.25">
      <c r="B16" s="4" t="s">
        <v>402</v>
      </c>
      <c r="C16" s="6" t="s">
        <v>406</v>
      </c>
      <c r="D16" s="6"/>
      <c r="E16" s="6"/>
      <c r="F16" s="6"/>
    </row>
  </sheetData>
  <mergeCells count="1">
    <mergeCell ref="B1:F1"/>
  </mergeCells>
  <phoneticPr fontId="2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B825-675B-49D0-9325-4538C2E542E5}">
  <dimension ref="A1:E57"/>
  <sheetViews>
    <sheetView tabSelected="1" workbookViewId="0">
      <selection activeCell="B2" sqref="B2"/>
    </sheetView>
  </sheetViews>
  <sheetFormatPr defaultRowHeight="13.8" x14ac:dyDescent="0.25"/>
  <cols>
    <col min="1" max="1" width="29.21875" customWidth="1"/>
    <col min="2" max="2" width="79.5546875" customWidth="1"/>
    <col min="3" max="3" width="35.44140625" customWidth="1"/>
  </cols>
  <sheetData>
    <row r="1" spans="1:3" ht="22.2" x14ac:dyDescent="0.45">
      <c r="A1" s="153" t="s">
        <v>412</v>
      </c>
      <c r="B1" s="153"/>
      <c r="C1" s="153"/>
    </row>
    <row r="2" spans="1:3" ht="15.6" x14ac:dyDescent="0.35">
      <c r="A2" s="102" t="s">
        <v>413</v>
      </c>
      <c r="B2" s="102" t="s">
        <v>496</v>
      </c>
      <c r="C2" s="102"/>
    </row>
    <row r="3" spans="1:3" ht="15.6" x14ac:dyDescent="0.35">
      <c r="A3" s="102" t="s">
        <v>414</v>
      </c>
      <c r="B3" s="102"/>
      <c r="C3" s="102"/>
    </row>
    <row r="4" spans="1:3" ht="15.6" x14ac:dyDescent="0.35">
      <c r="A4" s="102"/>
      <c r="B4" s="102"/>
      <c r="C4" s="102"/>
    </row>
    <row r="5" spans="1:3" ht="17.399999999999999" x14ac:dyDescent="0.25">
      <c r="A5" s="152" t="s">
        <v>415</v>
      </c>
      <c r="B5" s="152"/>
      <c r="C5" s="152"/>
    </row>
    <row r="6" spans="1:3" ht="15.6" x14ac:dyDescent="0.35">
      <c r="A6" s="102" t="s">
        <v>416</v>
      </c>
      <c r="B6" s="102"/>
      <c r="C6" s="102"/>
    </row>
    <row r="7" spans="1:3" ht="15.6" x14ac:dyDescent="0.35">
      <c r="A7" s="102" t="s">
        <v>417</v>
      </c>
      <c r="B7" s="102" t="s">
        <v>418</v>
      </c>
      <c r="C7" s="102" t="s">
        <v>419</v>
      </c>
    </row>
    <row r="8" spans="1:3" ht="15.6" x14ac:dyDescent="0.35">
      <c r="A8" s="102" t="s">
        <v>420</v>
      </c>
      <c r="B8" s="102" t="s">
        <v>429</v>
      </c>
      <c r="C8" s="102" t="s">
        <v>421</v>
      </c>
    </row>
    <row r="9" spans="1:3" ht="15.6" x14ac:dyDescent="0.35">
      <c r="A9" s="102" t="s">
        <v>422</v>
      </c>
      <c r="B9" s="102" t="s">
        <v>472</v>
      </c>
      <c r="C9" s="102" t="s">
        <v>423</v>
      </c>
    </row>
    <row r="10" spans="1:3" ht="15.6" x14ac:dyDescent="0.35">
      <c r="A10" s="102" t="s">
        <v>424</v>
      </c>
      <c r="B10" s="102" t="s">
        <v>444</v>
      </c>
      <c r="C10" s="102" t="s">
        <v>423</v>
      </c>
    </row>
    <row r="11" spans="1:3" ht="15.6" x14ac:dyDescent="0.35">
      <c r="A11" s="102" t="s">
        <v>425</v>
      </c>
      <c r="B11" s="102" t="s">
        <v>426</v>
      </c>
      <c r="C11" s="102" t="s">
        <v>427</v>
      </c>
    </row>
    <row r="12" spans="1:3" ht="15.6" x14ac:dyDescent="0.35">
      <c r="A12" s="102" t="s">
        <v>428</v>
      </c>
      <c r="B12" s="102" t="s">
        <v>430</v>
      </c>
      <c r="C12" s="102" t="s">
        <v>427</v>
      </c>
    </row>
    <row r="13" spans="1:3" ht="15.6" x14ac:dyDescent="0.35">
      <c r="A13" s="102"/>
      <c r="B13" s="102"/>
      <c r="C13" s="102"/>
    </row>
    <row r="14" spans="1:3" ht="17.399999999999999" x14ac:dyDescent="0.25">
      <c r="A14" s="152" t="s">
        <v>431</v>
      </c>
      <c r="B14" s="152"/>
      <c r="C14" s="152"/>
    </row>
    <row r="15" spans="1:3" ht="15.6" x14ac:dyDescent="0.35">
      <c r="A15" s="102" t="s">
        <v>432</v>
      </c>
      <c r="B15" s="102" t="s">
        <v>433</v>
      </c>
      <c r="C15" s="102" t="s">
        <v>434</v>
      </c>
    </row>
    <row r="16" spans="1:3" ht="19.8" x14ac:dyDescent="0.45">
      <c r="A16" s="102" t="s">
        <v>435</v>
      </c>
      <c r="B16" s="102" t="s">
        <v>438</v>
      </c>
      <c r="C16" s="102"/>
    </row>
    <row r="17" spans="1:5" ht="15.6" x14ac:dyDescent="0.35">
      <c r="A17" s="102" t="s">
        <v>436</v>
      </c>
      <c r="B17" s="102" t="s">
        <v>439</v>
      </c>
      <c r="C17" s="102" t="s">
        <v>437</v>
      </c>
    </row>
    <row r="18" spans="1:5" ht="15.6" x14ac:dyDescent="0.35">
      <c r="A18" s="102"/>
      <c r="B18" s="102"/>
      <c r="C18" s="102"/>
    </row>
    <row r="19" spans="1:5" ht="17.399999999999999" x14ac:dyDescent="0.25">
      <c r="A19" s="152" t="s">
        <v>440</v>
      </c>
      <c r="B19" s="152"/>
      <c r="C19" s="152"/>
    </row>
    <row r="20" spans="1:5" x14ac:dyDescent="0.25">
      <c r="A20" t="s">
        <v>443</v>
      </c>
    </row>
    <row r="21" spans="1:5" x14ac:dyDescent="0.25">
      <c r="A21" s="104" t="s">
        <v>441</v>
      </c>
    </row>
    <row r="22" spans="1:5" x14ac:dyDescent="0.25">
      <c r="A22" t="s">
        <v>442</v>
      </c>
    </row>
    <row r="25" spans="1:5" ht="17.399999999999999" x14ac:dyDescent="0.25">
      <c r="A25" s="152" t="s">
        <v>445</v>
      </c>
      <c r="B25" s="152"/>
      <c r="C25" s="152"/>
    </row>
    <row r="26" spans="1:5" ht="15.6" x14ac:dyDescent="0.35">
      <c r="A26" s="102" t="s">
        <v>446</v>
      </c>
      <c r="B26" s="102"/>
      <c r="C26" s="102"/>
      <c r="D26" s="102"/>
      <c r="E26" s="102"/>
    </row>
    <row r="27" spans="1:5" ht="15.6" x14ac:dyDescent="0.35">
      <c r="A27" s="102" t="s">
        <v>447</v>
      </c>
      <c r="B27" s="102" t="s">
        <v>448</v>
      </c>
      <c r="C27" s="102" t="s">
        <v>449</v>
      </c>
      <c r="E27" s="102"/>
    </row>
    <row r="28" spans="1:5" ht="15.6" x14ac:dyDescent="0.35">
      <c r="A28" s="102" t="s">
        <v>450</v>
      </c>
      <c r="B28" s="102" t="s">
        <v>451</v>
      </c>
      <c r="C28" s="102" t="s">
        <v>452</v>
      </c>
      <c r="E28" s="102"/>
    </row>
    <row r="29" spans="1:5" ht="15.6" x14ac:dyDescent="0.35">
      <c r="A29" s="102" t="s">
        <v>453</v>
      </c>
      <c r="B29" s="102" t="s">
        <v>454</v>
      </c>
      <c r="C29" s="102" t="s">
        <v>452</v>
      </c>
      <c r="E29" s="102"/>
    </row>
    <row r="30" spans="1:5" ht="15.6" x14ac:dyDescent="0.35">
      <c r="A30" s="102" t="s">
        <v>455</v>
      </c>
      <c r="B30" s="102" t="s">
        <v>456</v>
      </c>
      <c r="C30" s="102" t="s">
        <v>452</v>
      </c>
      <c r="E30" s="102"/>
    </row>
    <row r="31" spans="1:5" ht="15.6" x14ac:dyDescent="0.35">
      <c r="A31" s="102" t="s">
        <v>457</v>
      </c>
      <c r="B31" s="102" t="s">
        <v>458</v>
      </c>
      <c r="C31" s="102" t="s">
        <v>459</v>
      </c>
      <c r="E31" s="102"/>
    </row>
    <row r="32" spans="1:5" ht="15.6" x14ac:dyDescent="0.35">
      <c r="A32" s="102"/>
      <c r="B32" s="102"/>
      <c r="C32" s="105"/>
      <c r="D32" s="102"/>
      <c r="E32" s="102"/>
    </row>
    <row r="33" spans="1:5" ht="17.399999999999999" x14ac:dyDescent="0.35">
      <c r="A33" s="152" t="s">
        <v>494</v>
      </c>
      <c r="B33" s="152"/>
      <c r="C33" s="152"/>
      <c r="D33" s="102"/>
      <c r="E33" s="102"/>
    </row>
    <row r="34" spans="1:5" ht="23.4" customHeight="1" x14ac:dyDescent="0.35">
      <c r="A34" s="102" t="s">
        <v>473</v>
      </c>
      <c r="B34" s="102" t="s">
        <v>474</v>
      </c>
      <c r="C34" s="109"/>
      <c r="D34" s="102"/>
      <c r="E34" s="102"/>
    </row>
    <row r="35" spans="1:5" ht="109.2" x14ac:dyDescent="0.35">
      <c r="A35" s="111" t="s">
        <v>493</v>
      </c>
      <c r="B35" s="110" t="s">
        <v>475</v>
      </c>
      <c r="C35" s="105"/>
      <c r="D35" s="102"/>
      <c r="E35" s="102"/>
    </row>
    <row r="36" spans="1:5" ht="15.6" x14ac:dyDescent="0.35">
      <c r="A36" s="106" t="s">
        <v>460</v>
      </c>
      <c r="B36" s="102"/>
      <c r="C36" s="105"/>
      <c r="D36" s="102"/>
      <c r="E36" s="102"/>
    </row>
    <row r="37" spans="1:5" ht="15.6" x14ac:dyDescent="0.35">
      <c r="A37" s="102"/>
      <c r="B37" s="102"/>
      <c r="C37" s="102"/>
      <c r="D37" s="102"/>
      <c r="E37" s="102"/>
    </row>
    <row r="38" spans="1:5" ht="15.6" x14ac:dyDescent="0.35">
      <c r="A38" s="112" t="s">
        <v>476</v>
      </c>
      <c r="B38" s="113" t="s">
        <v>477</v>
      </c>
      <c r="C38" s="114" t="s">
        <v>478</v>
      </c>
      <c r="D38" s="102"/>
      <c r="E38" s="102"/>
    </row>
    <row r="39" spans="1:5" ht="15.6" x14ac:dyDescent="0.35">
      <c r="A39" s="115" t="s">
        <v>479</v>
      </c>
      <c r="B39" s="116" t="s">
        <v>450</v>
      </c>
      <c r="C39" s="117" t="s">
        <v>480</v>
      </c>
      <c r="D39" s="102"/>
      <c r="E39" s="102"/>
    </row>
    <row r="40" spans="1:5" ht="15.6" x14ac:dyDescent="0.35">
      <c r="A40" s="115" t="s">
        <v>481</v>
      </c>
      <c r="B40" s="116" t="s">
        <v>453</v>
      </c>
      <c r="C40" s="117" t="s">
        <v>480</v>
      </c>
      <c r="D40" s="102"/>
      <c r="E40" s="102"/>
    </row>
    <row r="41" spans="1:5" ht="15.6" x14ac:dyDescent="0.35">
      <c r="A41" s="115" t="s">
        <v>482</v>
      </c>
      <c r="B41" s="116" t="s">
        <v>455</v>
      </c>
      <c r="C41" s="117" t="s">
        <v>480</v>
      </c>
      <c r="D41" s="102"/>
      <c r="E41" s="102"/>
    </row>
    <row r="42" spans="1:5" ht="15.6" x14ac:dyDescent="0.35">
      <c r="A42" s="115" t="s">
        <v>483</v>
      </c>
      <c r="B42" s="116" t="s">
        <v>453</v>
      </c>
      <c r="C42" s="117" t="s">
        <v>480</v>
      </c>
      <c r="D42" s="102"/>
      <c r="E42" s="102"/>
    </row>
    <row r="43" spans="1:5" ht="15.6" x14ac:dyDescent="0.35">
      <c r="A43" s="115" t="s">
        <v>484</v>
      </c>
      <c r="B43" s="116" t="s">
        <v>453</v>
      </c>
      <c r="C43" s="117" t="s">
        <v>485</v>
      </c>
      <c r="D43" s="102"/>
      <c r="E43" s="102"/>
    </row>
    <row r="44" spans="1:5" ht="15.6" x14ac:dyDescent="0.35">
      <c r="A44" s="115" t="s">
        <v>486</v>
      </c>
      <c r="B44" s="116" t="s">
        <v>453</v>
      </c>
      <c r="C44" s="117" t="s">
        <v>480</v>
      </c>
      <c r="D44" s="102"/>
      <c r="E44" s="102"/>
    </row>
    <row r="45" spans="1:5" ht="15.6" x14ac:dyDescent="0.35">
      <c r="A45" s="115" t="s">
        <v>487</v>
      </c>
      <c r="B45" s="116" t="s">
        <v>455</v>
      </c>
      <c r="C45" s="117" t="s">
        <v>480</v>
      </c>
      <c r="D45" s="102"/>
      <c r="E45" s="102"/>
    </row>
    <row r="46" spans="1:5" ht="15.6" x14ac:dyDescent="0.35">
      <c r="A46" s="115" t="s">
        <v>488</v>
      </c>
      <c r="B46" s="116" t="s">
        <v>455</v>
      </c>
      <c r="C46" s="117" t="s">
        <v>489</v>
      </c>
      <c r="D46" s="102"/>
      <c r="E46" s="102"/>
    </row>
    <row r="47" spans="1:5" ht="15.6" x14ac:dyDescent="0.35">
      <c r="A47" s="115" t="s">
        <v>490</v>
      </c>
      <c r="B47" s="116" t="s">
        <v>455</v>
      </c>
      <c r="C47" s="117" t="s">
        <v>480</v>
      </c>
      <c r="D47" s="102"/>
      <c r="E47" s="102"/>
    </row>
    <row r="48" spans="1:5" ht="15.6" x14ac:dyDescent="0.35">
      <c r="A48" s="115" t="s">
        <v>491</v>
      </c>
      <c r="B48" s="116" t="s">
        <v>453</v>
      </c>
      <c r="C48" s="117" t="s">
        <v>480</v>
      </c>
      <c r="D48" s="102"/>
      <c r="E48" s="102"/>
    </row>
    <row r="49" spans="1:5" ht="15.6" x14ac:dyDescent="0.35">
      <c r="A49" s="118" t="s">
        <v>492</v>
      </c>
      <c r="B49" s="119" t="s">
        <v>450</v>
      </c>
      <c r="C49" s="120" t="s">
        <v>480</v>
      </c>
      <c r="D49" s="102"/>
      <c r="E49" s="102"/>
    </row>
    <row r="52" spans="1:5" ht="17.399999999999999" x14ac:dyDescent="0.25">
      <c r="A52" s="152" t="s">
        <v>461</v>
      </c>
      <c r="B52" s="152"/>
      <c r="C52" s="152"/>
    </row>
    <row r="53" spans="1:5" ht="15" x14ac:dyDescent="0.25">
      <c r="A53" s="107" t="s">
        <v>462</v>
      </c>
      <c r="B53" s="101" t="s">
        <v>463</v>
      </c>
    </row>
    <row r="54" spans="1:5" ht="15" x14ac:dyDescent="0.25">
      <c r="A54" s="108" t="s">
        <v>464</v>
      </c>
      <c r="B54" s="101" t="s">
        <v>465</v>
      </c>
    </row>
    <row r="55" spans="1:5" ht="15" x14ac:dyDescent="0.25">
      <c r="A55" s="103" t="s">
        <v>466</v>
      </c>
      <c r="B55" s="101" t="s">
        <v>495</v>
      </c>
    </row>
    <row r="56" spans="1:5" ht="15" x14ac:dyDescent="0.25">
      <c r="A56" s="107" t="s">
        <v>467</v>
      </c>
      <c r="B56" t="s">
        <v>468</v>
      </c>
    </row>
    <row r="57" spans="1:5" ht="15" x14ac:dyDescent="0.25">
      <c r="A57" s="103" t="s">
        <v>469</v>
      </c>
      <c r="B57" s="101" t="s">
        <v>470</v>
      </c>
      <c r="C57" s="104" t="s">
        <v>471</v>
      </c>
    </row>
  </sheetData>
  <mergeCells count="7">
    <mergeCell ref="A1:C1"/>
    <mergeCell ref="A33:C33"/>
    <mergeCell ref="A14:C14"/>
    <mergeCell ref="A5:C5"/>
    <mergeCell ref="A19:C19"/>
    <mergeCell ref="A25:C25"/>
    <mergeCell ref="A52:C52"/>
  </mergeCells>
  <phoneticPr fontId="2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汇总表</vt:lpstr>
      <vt:lpstr>光伏工程</vt:lpstr>
      <vt:lpstr>储能工程</vt:lpstr>
      <vt:lpstr>充电桩工程</vt:lpstr>
      <vt:lpstr>调整系数</vt:lpstr>
      <vt:lpstr>微网方案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Hui</dc:creator>
  <cp:lastModifiedBy>Joelle Qiu</cp:lastModifiedBy>
  <dcterms:created xsi:type="dcterms:W3CDTF">2015-06-05T18:17:00Z</dcterms:created>
  <dcterms:modified xsi:type="dcterms:W3CDTF">2026-07-06T07:10:05Z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2A39A048B1124B95B5DE7BCCE4A9C983_13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MSIP_Label_b23eb61a-fd83-4407-9f6a-71e8749d46c1_Enabled">
    <vt:lpwstr>true</vt:lpwstr>
  </property>
  <property fmtid="{D5CDD505-2E9C-101B-9397-08002B2CF9AE}" pid="6" name="MSIP_Label_b23eb61a-fd83-4407-9f6a-71e8749d46c1_SetDate">
    <vt:lpwstr>2026-02-04T09:08:54Z</vt:lpwstr>
  </property>
  <property fmtid="{D5CDD505-2E9C-101B-9397-08002B2CF9AE}" pid="7" name="MSIP_Label_b23eb61a-fd83-4407-9f6a-71e8749d46c1_Method">
    <vt:lpwstr>Standard</vt:lpwstr>
  </property>
  <property fmtid="{D5CDD505-2E9C-101B-9397-08002B2CF9AE}" pid="8" name="MSIP_Label_b23eb61a-fd83-4407-9f6a-71e8749d46c1_Name">
    <vt:lpwstr>通用</vt:lpwstr>
  </property>
  <property fmtid="{D5CDD505-2E9C-101B-9397-08002B2CF9AE}" pid="9" name="MSIP_Label_b23eb61a-fd83-4407-9f6a-71e8749d46c1_SiteId">
    <vt:lpwstr>2151c7d1-a2f9-4fdb-9325-4d1ad1633565</vt:lpwstr>
  </property>
  <property fmtid="{D5CDD505-2E9C-101B-9397-08002B2CF9AE}" pid="10" name="MSIP_Label_b23eb61a-fd83-4407-9f6a-71e8749d46c1_ActionId">
    <vt:lpwstr>ed30678b-582f-47ce-a831-110aaec2a3f4</vt:lpwstr>
  </property>
  <property fmtid="{D5CDD505-2E9C-101B-9397-08002B2CF9AE}" pid="11" name="MSIP_Label_b23eb61a-fd83-4407-9f6a-71e8749d46c1_ContentBits">
    <vt:lpwstr>0</vt:lpwstr>
  </property>
  <property fmtid="{D5CDD505-2E9C-101B-9397-08002B2CF9AE}" pid="12" name="MSIP_Label_b23eb61a-fd83-4407-9f6a-71e8749d46c1_Tag">
    <vt:lpwstr>10, 3, 0, 1</vt:lpwstr>
  </property>
</Properties>
</file>