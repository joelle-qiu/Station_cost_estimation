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chen.yao\Desktop\远景\包头\青山区\"/>
    </mc:Choice>
  </mc:AlternateContent>
  <xr:revisionPtr revIDLastSave="0" documentId="13_ncr:1_{814EDAF5-608C-4751-9045-12D276C43412}" xr6:coauthVersionLast="47" xr6:coauthVersionMax="47" xr10:uidLastSave="{00000000-0000-0000-0000-000000000000}"/>
  <bookViews>
    <workbookView xWindow="-110" yWindow="-110" windowWidth="19420" windowHeight="10300" firstSheet="1" activeTab="1" xr2:uid="{02D2FF3B-8397-4C2A-9E89-4817ECB08120}"/>
  </bookViews>
  <sheets>
    <sheet name="假设测算" sheetId="1" state="hidden" r:id="rId1"/>
    <sheet name="输入" sheetId="4" r:id="rId2"/>
    <sheet name="储能SOH" sheetId="7" r:id="rId3"/>
    <sheet name="利润表" sheetId="9" r:id="rId4"/>
    <sheet name="税务计算" sheetId="10" r:id="rId5"/>
    <sheet name="现金流量表" sheetId="11" r:id="rId6"/>
    <sheet name="Opex清单" sheetId="3" r:id="rId7"/>
    <sheet name="Capex清单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4" l="1"/>
  <c r="N13" i="3"/>
  <c r="C47" i="4"/>
  <c r="N9" i="3"/>
  <c r="C45" i="4"/>
  <c r="C42" i="4"/>
  <c r="C39" i="4"/>
  <c r="D3" i="3"/>
  <c r="C38" i="4"/>
  <c r="F32" i="4"/>
  <c r="D12" i="2"/>
  <c r="D8" i="2"/>
  <c r="L8" i="3"/>
  <c r="D7" i="2"/>
  <c r="M14" i="4"/>
  <c r="M8" i="4"/>
  <c r="C27" i="4" l="1"/>
  <c r="F21" i="4"/>
  <c r="M10" i="4"/>
  <c r="M5" i="4"/>
  <c r="M6" i="4"/>
  <c r="M4" i="4"/>
  <c r="M7" i="4"/>
  <c r="B40" i="11"/>
  <c r="A40" i="11" s="1"/>
  <c r="A56" i="4"/>
  <c r="L12" i="9"/>
  <c r="K12" i="9"/>
  <c r="L6" i="9"/>
  <c r="K6" i="9"/>
  <c r="C55" i="9"/>
  <c r="D55" i="9" s="1"/>
  <c r="E55" i="9" s="1"/>
  <c r="F55" i="9" s="1"/>
  <c r="G55" i="9" s="1"/>
  <c r="H55" i="9" s="1"/>
  <c r="I55" i="9" s="1"/>
  <c r="J55" i="9" s="1"/>
  <c r="K55" i="9" s="1"/>
  <c r="L55" i="9" s="1"/>
  <c r="C54" i="9"/>
  <c r="D54" i="9" s="1"/>
  <c r="E54" i="9" s="1"/>
  <c r="F54" i="9" s="1"/>
  <c r="G54" i="9" s="1"/>
  <c r="H54" i="9" s="1"/>
  <c r="I54" i="9" s="1"/>
  <c r="J54" i="9" s="1"/>
  <c r="K54" i="9" s="1"/>
  <c r="L54" i="9" s="1"/>
  <c r="C53" i="9"/>
  <c r="C52" i="9"/>
  <c r="D52" i="9" s="1"/>
  <c r="E52" i="9" s="1"/>
  <c r="F52" i="9" s="1"/>
  <c r="G52" i="9" s="1"/>
  <c r="H52" i="9" s="1"/>
  <c r="I52" i="9" s="1"/>
  <c r="J52" i="9" s="1"/>
  <c r="K52" i="9" s="1"/>
  <c r="L52" i="9" s="1"/>
  <c r="C51" i="9"/>
  <c r="D51" i="9" s="1"/>
  <c r="E51" i="9" s="1"/>
  <c r="F51" i="9" s="1"/>
  <c r="G51" i="9" s="1"/>
  <c r="H51" i="9" s="1"/>
  <c r="I51" i="9" s="1"/>
  <c r="J51" i="9" s="1"/>
  <c r="K51" i="9" s="1"/>
  <c r="L51" i="9" s="1"/>
  <c r="C50" i="9"/>
  <c r="C49" i="9"/>
  <c r="C48" i="9"/>
  <c r="C47" i="9"/>
  <c r="D47" i="9" s="1"/>
  <c r="E47" i="9" s="1"/>
  <c r="F47" i="9" s="1"/>
  <c r="G47" i="9" s="1"/>
  <c r="H47" i="9" s="1"/>
  <c r="I47" i="9" s="1"/>
  <c r="J47" i="9" s="1"/>
  <c r="K47" i="9" s="1"/>
  <c r="L47" i="9" s="1"/>
  <c r="C46" i="9"/>
  <c r="D46" i="9" s="1"/>
  <c r="E46" i="9" s="1"/>
  <c r="F46" i="9" s="1"/>
  <c r="G46" i="9" s="1"/>
  <c r="H46" i="9" s="1"/>
  <c r="I46" i="9" s="1"/>
  <c r="J46" i="9" s="1"/>
  <c r="K46" i="9" s="1"/>
  <c r="L46" i="9" s="1"/>
  <c r="C45" i="9"/>
  <c r="D45" i="9" s="1"/>
  <c r="E45" i="9" s="1"/>
  <c r="F45" i="9" s="1"/>
  <c r="G45" i="9" s="1"/>
  <c r="H45" i="9" s="1"/>
  <c r="I45" i="9" s="1"/>
  <c r="J45" i="9" s="1"/>
  <c r="K45" i="9" s="1"/>
  <c r="L45" i="9" s="1"/>
  <c r="C44" i="9"/>
  <c r="D53" i="9"/>
  <c r="E53" i="9" s="1"/>
  <c r="F53" i="9" s="1"/>
  <c r="G53" i="9" s="1"/>
  <c r="H53" i="9" s="1"/>
  <c r="I53" i="9" s="1"/>
  <c r="J53" i="9" s="1"/>
  <c r="K53" i="9" s="1"/>
  <c r="L53" i="9" s="1"/>
  <c r="D50" i="9"/>
  <c r="E50" i="9" s="1"/>
  <c r="F50" i="9" s="1"/>
  <c r="G50" i="9" s="1"/>
  <c r="H50" i="9" s="1"/>
  <c r="I50" i="9" s="1"/>
  <c r="J50" i="9" s="1"/>
  <c r="K50" i="9" s="1"/>
  <c r="L50" i="9" s="1"/>
  <c r="D49" i="9"/>
  <c r="E49" i="9" s="1"/>
  <c r="F49" i="9" s="1"/>
  <c r="G49" i="9" s="1"/>
  <c r="H49" i="9" s="1"/>
  <c r="I49" i="9" s="1"/>
  <c r="J49" i="9" s="1"/>
  <c r="K49" i="9" s="1"/>
  <c r="L49" i="9" s="1"/>
  <c r="D48" i="9"/>
  <c r="E48" i="9" s="1"/>
  <c r="F48" i="9" s="1"/>
  <c r="G48" i="9" s="1"/>
  <c r="H48" i="9" s="1"/>
  <c r="I48" i="9" s="1"/>
  <c r="J48" i="9" s="1"/>
  <c r="K48" i="9" s="1"/>
  <c r="L48" i="9" s="1"/>
  <c r="E40" i="9"/>
  <c r="F40" i="9" s="1"/>
  <c r="G40" i="9" s="1"/>
  <c r="H40" i="9" s="1"/>
  <c r="I40" i="9" s="1"/>
  <c r="J40" i="9" s="1"/>
  <c r="K40" i="9" s="1"/>
  <c r="L40" i="9" s="1"/>
  <c r="E39" i="9"/>
  <c r="F39" i="9" s="1"/>
  <c r="G39" i="9" s="1"/>
  <c r="H39" i="9" s="1"/>
  <c r="I39" i="9" s="1"/>
  <c r="J39" i="9" s="1"/>
  <c r="K39" i="9" s="1"/>
  <c r="L39" i="9" s="1"/>
  <c r="E38" i="9"/>
  <c r="F38" i="9" s="1"/>
  <c r="G38" i="9" s="1"/>
  <c r="H38" i="9" s="1"/>
  <c r="I38" i="9" s="1"/>
  <c r="J38" i="9" s="1"/>
  <c r="K38" i="9" s="1"/>
  <c r="L38" i="9" s="1"/>
  <c r="E37" i="9"/>
  <c r="F37" i="9" s="1"/>
  <c r="G37" i="9" s="1"/>
  <c r="H37" i="9" s="1"/>
  <c r="I37" i="9" s="1"/>
  <c r="J37" i="9" s="1"/>
  <c r="K37" i="9" s="1"/>
  <c r="L37" i="9" s="1"/>
  <c r="E35" i="9"/>
  <c r="F35" i="9" s="1"/>
  <c r="G35" i="9" s="1"/>
  <c r="H35" i="9" s="1"/>
  <c r="I35" i="9" s="1"/>
  <c r="J35" i="9" s="1"/>
  <c r="K35" i="9" s="1"/>
  <c r="L35" i="9" s="1"/>
  <c r="E34" i="9"/>
  <c r="F34" i="9" s="1"/>
  <c r="G34" i="9" s="1"/>
  <c r="H34" i="9" s="1"/>
  <c r="I34" i="9" s="1"/>
  <c r="J34" i="9" s="1"/>
  <c r="K34" i="9" s="1"/>
  <c r="L34" i="9" s="1"/>
  <c r="E32" i="9"/>
  <c r="F32" i="9" s="1"/>
  <c r="G32" i="9" s="1"/>
  <c r="H32" i="9" s="1"/>
  <c r="I32" i="9" s="1"/>
  <c r="J32" i="9" s="1"/>
  <c r="K32" i="9" s="1"/>
  <c r="L32" i="9" s="1"/>
  <c r="D36" i="9"/>
  <c r="E36" i="9" s="1"/>
  <c r="F36" i="9" s="1"/>
  <c r="G36" i="9" s="1"/>
  <c r="H36" i="9" s="1"/>
  <c r="I36" i="9" s="1"/>
  <c r="J36" i="9" s="1"/>
  <c r="K36" i="9" s="1"/>
  <c r="L36" i="9" s="1"/>
  <c r="D32" i="9"/>
  <c r="C41" i="9"/>
  <c r="D41" i="9" s="1"/>
  <c r="E41" i="9" s="1"/>
  <c r="F41" i="9" s="1"/>
  <c r="G41" i="9" s="1"/>
  <c r="H41" i="9" s="1"/>
  <c r="I41" i="9" s="1"/>
  <c r="J41" i="9" s="1"/>
  <c r="K41" i="9" s="1"/>
  <c r="L41" i="9" s="1"/>
  <c r="C40" i="9"/>
  <c r="C39" i="9"/>
  <c r="C38" i="9"/>
  <c r="C37" i="9"/>
  <c r="C36" i="9"/>
  <c r="C35" i="9"/>
  <c r="C34" i="9"/>
  <c r="D34" i="9" s="1"/>
  <c r="C33" i="9"/>
  <c r="D33" i="9" s="1"/>
  <c r="E33" i="9" s="1"/>
  <c r="F33" i="9" s="1"/>
  <c r="G33" i="9" s="1"/>
  <c r="H33" i="9" s="1"/>
  <c r="I33" i="9" s="1"/>
  <c r="J33" i="9" s="1"/>
  <c r="K33" i="9" s="1"/>
  <c r="L33" i="9" s="1"/>
  <c r="C32" i="9"/>
  <c r="D35" i="9"/>
  <c r="C31" i="9"/>
  <c r="D31" i="9" s="1"/>
  <c r="E31" i="9" s="1"/>
  <c r="F31" i="9" s="1"/>
  <c r="G31" i="9" s="1"/>
  <c r="H31" i="9" s="1"/>
  <c r="I31" i="9" s="1"/>
  <c r="J31" i="9" s="1"/>
  <c r="K31" i="9" s="1"/>
  <c r="L31" i="9" s="1"/>
  <c r="C30" i="9"/>
  <c r="D40" i="9"/>
  <c r="D39" i="9"/>
  <c r="D38" i="9"/>
  <c r="D37" i="9"/>
  <c r="C9" i="4"/>
  <c r="L30" i="11" s="1"/>
  <c r="C34" i="11"/>
  <c r="D34" i="11" s="1"/>
  <c r="E34" i="11" s="1"/>
  <c r="F34" i="11" s="1"/>
  <c r="G34" i="11" s="1"/>
  <c r="H34" i="11" s="1"/>
  <c r="I34" i="11" s="1"/>
  <c r="J34" i="11" s="1"/>
  <c r="K34" i="11" s="1"/>
  <c r="L34" i="11" s="1"/>
  <c r="B34" i="11"/>
  <c r="L16" i="11"/>
  <c r="L17" i="11" s="1"/>
  <c r="K16" i="11"/>
  <c r="K17" i="11" s="1"/>
  <c r="I16" i="11"/>
  <c r="I17" i="11" s="1"/>
  <c r="H16" i="11"/>
  <c r="H17" i="11" s="1"/>
  <c r="G16" i="11"/>
  <c r="G17" i="11" s="1"/>
  <c r="F16" i="11"/>
  <c r="F17" i="11" s="1"/>
  <c r="E16" i="11"/>
  <c r="E17" i="11" s="1"/>
  <c r="D16" i="11"/>
  <c r="D17" i="11" s="1"/>
  <c r="B16" i="11"/>
  <c r="B17" i="11" s="1"/>
  <c r="C16" i="11"/>
  <c r="C17" i="11" s="1"/>
  <c r="N16" i="4"/>
  <c r="O16" i="4" s="1"/>
  <c r="N15" i="4"/>
  <c r="O15" i="4" s="1"/>
  <c r="N14" i="4"/>
  <c r="O14" i="4" s="1"/>
  <c r="N13" i="4"/>
  <c r="N11" i="4"/>
  <c r="O11" i="4" s="1"/>
  <c r="N10" i="4"/>
  <c r="O10" i="4" s="1"/>
  <c r="N8" i="4"/>
  <c r="O8" i="4" s="1"/>
  <c r="N7" i="4"/>
  <c r="O7" i="4" s="1"/>
  <c r="N6" i="4"/>
  <c r="O6" i="4" s="1"/>
  <c r="N5" i="4"/>
  <c r="O5" i="4" s="1"/>
  <c r="N4" i="4"/>
  <c r="O4" i="4" s="1"/>
  <c r="C26" i="9" a="1"/>
  <c r="C26" i="9" s="1"/>
  <c r="C35" i="4"/>
  <c r="C31" i="4"/>
  <c r="C23" i="4"/>
  <c r="L26" i="11"/>
  <c r="K26" i="11"/>
  <c r="J26" i="11"/>
  <c r="I26" i="11"/>
  <c r="H26" i="11"/>
  <c r="G26" i="11"/>
  <c r="F26" i="11"/>
  <c r="E26" i="11"/>
  <c r="D26" i="11"/>
  <c r="C26" i="11"/>
  <c r="B26" i="11"/>
  <c r="L24" i="11"/>
  <c r="K24" i="11"/>
  <c r="J24" i="11"/>
  <c r="I24" i="11"/>
  <c r="H24" i="11"/>
  <c r="G24" i="11"/>
  <c r="F24" i="11"/>
  <c r="E24" i="11"/>
  <c r="D24" i="11"/>
  <c r="C24" i="11"/>
  <c r="B24" i="11"/>
  <c r="L19" i="11"/>
  <c r="K19" i="11"/>
  <c r="J19" i="11"/>
  <c r="I19" i="11"/>
  <c r="H19" i="11"/>
  <c r="G19" i="11"/>
  <c r="F19" i="11"/>
  <c r="E19" i="11"/>
  <c r="D19" i="11"/>
  <c r="C19" i="11"/>
  <c r="B34" i="10"/>
  <c r="B31" i="10"/>
  <c r="B32" i="10" s="1"/>
  <c r="L20" i="4"/>
  <c r="L9" i="9" l="1"/>
  <c r="L13" i="9"/>
  <c r="D9" i="9"/>
  <c r="L7" i="9"/>
  <c r="K8" i="9"/>
  <c r="L8" i="9"/>
  <c r="K7" i="9"/>
  <c r="F9" i="9"/>
  <c r="K14" i="9"/>
  <c r="K11" i="11" s="1"/>
  <c r="L14" i="9"/>
  <c r="L11" i="11" s="1"/>
  <c r="L5" i="9"/>
  <c r="I9" i="9"/>
  <c r="L19" i="10"/>
  <c r="E9" i="9"/>
  <c r="L15" i="10"/>
  <c r="G9" i="9"/>
  <c r="K5" i="9"/>
  <c r="J9" i="9"/>
  <c r="K30" i="11"/>
  <c r="K15" i="10"/>
  <c r="H9" i="9"/>
  <c r="K19" i="10"/>
  <c r="K9" i="9"/>
  <c r="K13" i="9"/>
  <c r="C43" i="9"/>
  <c r="C15" i="10" s="1"/>
  <c r="D44" i="9"/>
  <c r="E44" i="9" s="1"/>
  <c r="F44" i="9" s="1"/>
  <c r="G44" i="9" s="1"/>
  <c r="H44" i="9" s="1"/>
  <c r="I44" i="9" s="1"/>
  <c r="J44" i="9" s="1"/>
  <c r="K44" i="9" s="1"/>
  <c r="L44" i="9" s="1"/>
  <c r="C29" i="9"/>
  <c r="C14" i="9" s="1"/>
  <c r="C11" i="11" s="1"/>
  <c r="D30" i="9"/>
  <c r="E30" i="9" s="1"/>
  <c r="F30" i="9" s="1"/>
  <c r="G30" i="9" s="1"/>
  <c r="H30" i="9" s="1"/>
  <c r="I30" i="9" s="1"/>
  <c r="J30" i="9" s="1"/>
  <c r="K30" i="9" s="1"/>
  <c r="L30" i="9" s="1"/>
  <c r="K26" i="9"/>
  <c r="I26" i="9"/>
  <c r="D26" i="9"/>
  <c r="L26" i="9"/>
  <c r="J26" i="9"/>
  <c r="H26" i="9"/>
  <c r="G26" i="9"/>
  <c r="F26" i="9"/>
  <c r="E26" i="9"/>
  <c r="E27" i="11"/>
  <c r="G27" i="11"/>
  <c r="J27" i="11"/>
  <c r="K20" i="11"/>
  <c r="B27" i="11"/>
  <c r="D27" i="11"/>
  <c r="F20" i="11"/>
  <c r="C27" i="11"/>
  <c r="C5" i="9"/>
  <c r="N17" i="4"/>
  <c r="B13" i="10" s="1"/>
  <c r="H27" i="11"/>
  <c r="I27" i="11"/>
  <c r="F27" i="11"/>
  <c r="L20" i="11"/>
  <c r="D20" i="11"/>
  <c r="E20" i="11"/>
  <c r="G20" i="11"/>
  <c r="K27" i="11"/>
  <c r="I20" i="11"/>
  <c r="L27" i="11"/>
  <c r="C20" i="11"/>
  <c r="H20" i="11"/>
  <c r="O13" i="4"/>
  <c r="O17" i="4"/>
  <c r="J13" i="9" s="1"/>
  <c r="B36" i="10"/>
  <c r="B38" i="10" s="1"/>
  <c r="B40" i="10" s="1"/>
  <c r="B35" i="10"/>
  <c r="C33" i="10" s="1"/>
  <c r="F27" i="4"/>
  <c r="O23" i="4"/>
  <c r="I21" i="4"/>
  <c r="I23" i="4" s="1"/>
  <c r="C36" i="4"/>
  <c r="H13" i="9" l="1"/>
  <c r="B16" i="10"/>
  <c r="B20" i="10" s="1"/>
  <c r="F13" i="9"/>
  <c r="E13" i="9"/>
  <c r="G13" i="9"/>
  <c r="D13" i="9"/>
  <c r="I13" i="9"/>
  <c r="C5" i="10"/>
  <c r="D5" i="9"/>
  <c r="E5" i="9" s="1"/>
  <c r="F5" i="9" s="1"/>
  <c r="G5" i="9" s="1"/>
  <c r="H5" i="9" s="1"/>
  <c r="I5" i="9" s="1"/>
  <c r="J5" i="9" s="1"/>
  <c r="J8" i="9"/>
  <c r="J8" i="10" s="1"/>
  <c r="H8" i="9"/>
  <c r="H8" i="10" s="1"/>
  <c r="I8" i="9"/>
  <c r="D8" i="9"/>
  <c r="D8" i="10" s="1"/>
  <c r="F8" i="9"/>
  <c r="F8" i="10" s="1"/>
  <c r="G8" i="9"/>
  <c r="G8" i="10" s="1"/>
  <c r="E8" i="9"/>
  <c r="E8" i="10" s="1"/>
  <c r="D29" i="9"/>
  <c r="D14" i="9" s="1"/>
  <c r="D11" i="11" s="1"/>
  <c r="D43" i="9"/>
  <c r="D15" i="10" s="1"/>
  <c r="C13" i="9"/>
  <c r="J16" i="11"/>
  <c r="J17" i="11" s="1"/>
  <c r="J20" i="11" s="1"/>
  <c r="F28" i="4"/>
  <c r="C24" i="9"/>
  <c r="C12" i="9" s="1"/>
  <c r="I8" i="10"/>
  <c r="C8" i="9"/>
  <c r="C8" i="10" s="1"/>
  <c r="K8" i="10"/>
  <c r="L8" i="10"/>
  <c r="L9" i="10"/>
  <c r="F9" i="10"/>
  <c r="D9" i="10"/>
  <c r="K9" i="10"/>
  <c r="H9" i="10"/>
  <c r="J9" i="10"/>
  <c r="I9" i="10"/>
  <c r="G9" i="10"/>
  <c r="C9" i="9"/>
  <c r="C9" i="10" s="1"/>
  <c r="E9" i="10"/>
  <c r="B37" i="10"/>
  <c r="C34" i="10" s="1"/>
  <c r="M17" i="4"/>
  <c r="B18" i="11" s="1"/>
  <c r="B19" i="11" s="1"/>
  <c r="B20" i="11" s="1"/>
  <c r="L24" i="4"/>
  <c r="B21" i="10" l="1"/>
  <c r="B22" i="10"/>
  <c r="C19" i="10" s="1"/>
  <c r="E29" i="9"/>
  <c r="E14" i="9" s="1"/>
  <c r="E11" i="11" s="1"/>
  <c r="E43" i="9"/>
  <c r="E15" i="10" s="1"/>
  <c r="B31" i="11"/>
  <c r="B32" i="11" s="1"/>
  <c r="C30" i="11" s="1"/>
  <c r="C7" i="9"/>
  <c r="C7" i="10" s="1"/>
  <c r="D24" i="9"/>
  <c r="D12" i="9" s="1"/>
  <c r="C25" i="9"/>
  <c r="C6" i="9" s="1"/>
  <c r="A1" i="4"/>
  <c r="B25" i="10" l="1"/>
  <c r="B26" i="10"/>
  <c r="B27" i="10"/>
  <c r="D7" i="9"/>
  <c r="D7" i="10" s="1"/>
  <c r="F29" i="9"/>
  <c r="F14" i="9" s="1"/>
  <c r="F11" i="11" s="1"/>
  <c r="F43" i="9"/>
  <c r="F15" i="10" s="1"/>
  <c r="B35" i="11"/>
  <c r="B36" i="11" s="1"/>
  <c r="D5" i="10"/>
  <c r="D25" i="9"/>
  <c r="D6" i="9" s="1"/>
  <c r="D6" i="10" s="1"/>
  <c r="C6" i="10"/>
  <c r="C10" i="10" s="1"/>
  <c r="C10" i="9"/>
  <c r="C5" i="11" s="1"/>
  <c r="E24" i="9"/>
  <c r="E12" i="9" s="1"/>
  <c r="G6" i="3"/>
  <c r="G7" i="3"/>
  <c r="G10" i="3"/>
  <c r="G11" i="3"/>
  <c r="G12" i="3"/>
  <c r="B28" i="10" l="1"/>
  <c r="E7" i="9"/>
  <c r="E7" i="10" s="1"/>
  <c r="G29" i="9"/>
  <c r="G14" i="9" s="1"/>
  <c r="G11" i="11" s="1"/>
  <c r="G43" i="9"/>
  <c r="G15" i="10" s="1"/>
  <c r="C10" i="11"/>
  <c r="C14" i="10"/>
  <c r="C16" i="10" s="1"/>
  <c r="C20" i="10" s="1"/>
  <c r="D10" i="10"/>
  <c r="F24" i="9"/>
  <c r="F12" i="9" s="1"/>
  <c r="E5" i="10"/>
  <c r="E25" i="9"/>
  <c r="E6" i="9" s="1"/>
  <c r="E6" i="10" s="1"/>
  <c r="D10" i="9"/>
  <c r="D5" i="11" s="1"/>
  <c r="N6" i="3"/>
  <c r="D13" i="3"/>
  <c r="G13" i="3" s="1"/>
  <c r="G3" i="3"/>
  <c r="L2" i="3"/>
  <c r="D2" i="3" s="1"/>
  <c r="G2" i="3" s="1"/>
  <c r="H11" i="3"/>
  <c r="N10" i="3"/>
  <c r="H10" i="3"/>
  <c r="N8" i="3"/>
  <c r="D8" i="3" s="1"/>
  <c r="G8" i="3" s="1"/>
  <c r="N7" i="3"/>
  <c r="H6" i="3"/>
  <c r="L13" i="2"/>
  <c r="D13" i="2" s="1"/>
  <c r="L12" i="2"/>
  <c r="L11" i="2"/>
  <c r="L10" i="2"/>
  <c r="L9" i="2"/>
  <c r="D9" i="2"/>
  <c r="L8" i="2"/>
  <c r="G9" i="3" s="1"/>
  <c r="L7" i="2"/>
  <c r="J6" i="2"/>
  <c r="L6" i="2" s="1"/>
  <c r="D6" i="2" s="1"/>
  <c r="L5" i="2"/>
  <c r="D5" i="2"/>
  <c r="L4" i="2"/>
  <c r="D4" i="2"/>
  <c r="L3" i="2"/>
  <c r="D3" i="2"/>
  <c r="L2" i="2"/>
  <c r="D2" i="2"/>
  <c r="F7" i="9" l="1"/>
  <c r="F7" i="10" s="1"/>
  <c r="H29" i="9"/>
  <c r="H14" i="9" s="1"/>
  <c r="H11" i="11" s="1"/>
  <c r="H43" i="9"/>
  <c r="H15" i="10" s="1"/>
  <c r="C22" i="10"/>
  <c r="D19" i="10" s="1"/>
  <c r="C21" i="10"/>
  <c r="D10" i="11"/>
  <c r="D14" i="10"/>
  <c r="D16" i="10" s="1"/>
  <c r="E10" i="9"/>
  <c r="E5" i="11" s="1"/>
  <c r="F5" i="10"/>
  <c r="F25" i="9"/>
  <c r="F6" i="9" s="1"/>
  <c r="F6" i="10" s="1"/>
  <c r="E10" i="10"/>
  <c r="G24" i="9"/>
  <c r="G12" i="9" s="1"/>
  <c r="N5" i="3"/>
  <c r="D5" i="3" s="1"/>
  <c r="G5" i="3" s="1"/>
  <c r="H7" i="3"/>
  <c r="H2" i="3"/>
  <c r="H3" i="3"/>
  <c r="H8" i="3"/>
  <c r="H12" i="3"/>
  <c r="H9" i="3"/>
  <c r="H13" i="3"/>
  <c r="D15" i="2"/>
  <c r="C2" i="1" s="1"/>
  <c r="G7" i="9" l="1"/>
  <c r="G7" i="10" s="1"/>
  <c r="I29" i="9"/>
  <c r="I14" i="9" s="1"/>
  <c r="I11" i="11" s="1"/>
  <c r="I43" i="9"/>
  <c r="I15" i="10" s="1"/>
  <c r="C6" i="11"/>
  <c r="C7" i="11" s="1"/>
  <c r="C25" i="10"/>
  <c r="C27" i="10"/>
  <c r="C26" i="10"/>
  <c r="D20" i="10"/>
  <c r="E14" i="10"/>
  <c r="E16" i="10" s="1"/>
  <c r="E10" i="11"/>
  <c r="G5" i="10"/>
  <c r="H24" i="9"/>
  <c r="H12" i="9" s="1"/>
  <c r="G25" i="9"/>
  <c r="G6" i="9" s="1"/>
  <c r="G6" i="10" s="1"/>
  <c r="F10" i="10"/>
  <c r="F10" i="9"/>
  <c r="F5" i="11" s="1"/>
  <c r="H5" i="3"/>
  <c r="D14" i="3"/>
  <c r="C3" i="1" s="1"/>
  <c r="H14" i="3"/>
  <c r="H7" i="9" l="1"/>
  <c r="H7" i="10" s="1"/>
  <c r="J29" i="9"/>
  <c r="J14" i="9" s="1"/>
  <c r="J11" i="11" s="1"/>
  <c r="J43" i="9"/>
  <c r="J15" i="10" s="1"/>
  <c r="D22" i="10"/>
  <c r="D21" i="10"/>
  <c r="F14" i="10"/>
  <c r="F16" i="10" s="1"/>
  <c r="F10" i="11"/>
  <c r="C28" i="10"/>
  <c r="H25" i="9"/>
  <c r="H6" i="9" s="1"/>
  <c r="H6" i="10" s="1"/>
  <c r="I24" i="9"/>
  <c r="I12" i="9" s="1"/>
  <c r="G10" i="10"/>
  <c r="H5" i="10"/>
  <c r="G10" i="9"/>
  <c r="G5" i="11" s="1"/>
  <c r="K34" i="1"/>
  <c r="J34" i="1"/>
  <c r="I34" i="1"/>
  <c r="H34" i="1"/>
  <c r="G34" i="1"/>
  <c r="F34" i="1"/>
  <c r="E34" i="1"/>
  <c r="D34" i="1"/>
  <c r="I7" i="9" l="1"/>
  <c r="I7" i="10" s="1"/>
  <c r="E19" i="10"/>
  <c r="E20" i="10" s="1"/>
  <c r="L29" i="9"/>
  <c r="K29" i="9"/>
  <c r="K43" i="9"/>
  <c r="L43" i="9"/>
  <c r="G10" i="11"/>
  <c r="G14" i="10"/>
  <c r="G16" i="10" s="1"/>
  <c r="C8" i="11"/>
  <c r="C15" i="9"/>
  <c r="C16" i="9" s="1"/>
  <c r="C18" i="9" s="1"/>
  <c r="C31" i="10" s="1"/>
  <c r="C32" i="10" s="1"/>
  <c r="C35" i="10" s="1"/>
  <c r="D33" i="10" s="1"/>
  <c r="D6" i="11"/>
  <c r="D7" i="11" s="1"/>
  <c r="D27" i="10"/>
  <c r="D26" i="10"/>
  <c r="D25" i="10"/>
  <c r="H10" i="10"/>
  <c r="H10" i="9"/>
  <c r="H5" i="11" s="1"/>
  <c r="J24" i="9"/>
  <c r="J12" i="9" s="1"/>
  <c r="I5" i="10"/>
  <c r="I25" i="9"/>
  <c r="I6" i="9" s="1"/>
  <c r="I6" i="10" s="1"/>
  <c r="I10" i="9" l="1"/>
  <c r="I5" i="11" s="1"/>
  <c r="J7" i="9"/>
  <c r="J7" i="10" s="1"/>
  <c r="E22" i="10"/>
  <c r="E21" i="10"/>
  <c r="E25" i="10" s="1"/>
  <c r="C36" i="10"/>
  <c r="C38" i="10" s="1"/>
  <c r="C40" i="10" s="1"/>
  <c r="C19" i="9" s="1"/>
  <c r="C20" i="9" s="1"/>
  <c r="H14" i="10"/>
  <c r="H16" i="10" s="1"/>
  <c r="H10" i="11"/>
  <c r="D28" i="10"/>
  <c r="D15" i="9" s="1"/>
  <c r="J25" i="9"/>
  <c r="J6" i="9" s="1"/>
  <c r="J6" i="10" s="1"/>
  <c r="I10" i="10"/>
  <c r="J5" i="10"/>
  <c r="K24" i="9"/>
  <c r="E6" i="11" l="1"/>
  <c r="E7" i="11" s="1"/>
  <c r="E27" i="10"/>
  <c r="E26" i="10"/>
  <c r="F19" i="10"/>
  <c r="F20" i="10" s="1"/>
  <c r="C9" i="11"/>
  <c r="C12" i="11" s="1"/>
  <c r="C13" i="11" s="1"/>
  <c r="I14" i="10"/>
  <c r="I16" i="10" s="1"/>
  <c r="I10" i="11"/>
  <c r="D8" i="11"/>
  <c r="D16" i="9"/>
  <c r="D18" i="9" s="1"/>
  <c r="D31" i="10" s="1"/>
  <c r="D32" i="10" s="1"/>
  <c r="D35" i="10" s="1"/>
  <c r="C37" i="10"/>
  <c r="D34" i="10" s="1"/>
  <c r="K5" i="10"/>
  <c r="J10" i="10"/>
  <c r="J10" i="9"/>
  <c r="J5" i="11" s="1"/>
  <c r="L24" i="9"/>
  <c r="K6" i="10"/>
  <c r="K7" i="10"/>
  <c r="K25" i="9"/>
  <c r="E28" i="10" l="1"/>
  <c r="E15" i="9" s="1"/>
  <c r="E16" i="9" s="1"/>
  <c r="E18" i="9" s="1"/>
  <c r="E31" i="10" s="1"/>
  <c r="E32" i="10" s="1"/>
  <c r="E35" i="10" s="1"/>
  <c r="F22" i="10"/>
  <c r="F21" i="10"/>
  <c r="E33" i="10"/>
  <c r="J14" i="10"/>
  <c r="J16" i="10" s="1"/>
  <c r="J10" i="11"/>
  <c r="D36" i="10"/>
  <c r="D38" i="10" s="1"/>
  <c r="D40" i="10" s="1"/>
  <c r="C31" i="11"/>
  <c r="C32" i="11" s="1"/>
  <c r="D30" i="11" s="1"/>
  <c r="C35" i="11"/>
  <c r="L5" i="10"/>
  <c r="L25" i="9"/>
  <c r="K10" i="10"/>
  <c r="L7" i="10"/>
  <c r="L6" i="10"/>
  <c r="K10" i="9"/>
  <c r="K5" i="11" s="1"/>
  <c r="E8" i="11" l="1"/>
  <c r="F27" i="10"/>
  <c r="F6" i="11"/>
  <c r="F7" i="11" s="1"/>
  <c r="F26" i="10"/>
  <c r="F25" i="10"/>
  <c r="G19" i="10"/>
  <c r="G20" i="10" s="1"/>
  <c r="L10" i="10"/>
  <c r="D37" i="10"/>
  <c r="E34" i="10" s="1"/>
  <c r="D9" i="11"/>
  <c r="D12" i="11" s="1"/>
  <c r="D13" i="11" s="1"/>
  <c r="D19" i="9"/>
  <c r="D20" i="9" s="1"/>
  <c r="L10" i="11"/>
  <c r="L14" i="10"/>
  <c r="L16" i="10" s="1"/>
  <c r="F33" i="10"/>
  <c r="K10" i="11"/>
  <c r="K14" i="10"/>
  <c r="K16" i="10" s="1"/>
  <c r="C36" i="11"/>
  <c r="L10" i="9"/>
  <c r="L5" i="11" s="1"/>
  <c r="F28" i="10" l="1"/>
  <c r="F15" i="9" s="1"/>
  <c r="F16" i="9" s="1"/>
  <c r="F18" i="9" s="1"/>
  <c r="F31" i="10" s="1"/>
  <c r="F32" i="10" s="1"/>
  <c r="F35" i="10" s="1"/>
  <c r="G33" i="10" s="1"/>
  <c r="G22" i="10"/>
  <c r="G21" i="10"/>
  <c r="E36" i="10"/>
  <c r="E38" i="10" s="1"/>
  <c r="E40" i="10" s="1"/>
  <c r="E9" i="11" s="1"/>
  <c r="E12" i="11" s="1"/>
  <c r="E13" i="11" s="1"/>
  <c r="D31" i="11"/>
  <c r="D32" i="11" s="1"/>
  <c r="E30" i="11" s="1"/>
  <c r="D35" i="11"/>
  <c r="D36" i="11" s="1"/>
  <c r="F8" i="11" l="1"/>
  <c r="G6" i="11"/>
  <c r="G7" i="11" s="1"/>
  <c r="G25" i="10"/>
  <c r="G26" i="10"/>
  <c r="G27" i="10"/>
  <c r="H19" i="10"/>
  <c r="H20" i="10" s="1"/>
  <c r="E19" i="9"/>
  <c r="E20" i="9" s="1"/>
  <c r="E37" i="10"/>
  <c r="F34" i="10" s="1"/>
  <c r="F36" i="10" s="1"/>
  <c r="F38" i="10" s="1"/>
  <c r="F40" i="10" s="1"/>
  <c r="E31" i="11"/>
  <c r="E32" i="11" s="1"/>
  <c r="F30" i="11" s="1"/>
  <c r="E35" i="11"/>
  <c r="E36" i="11" s="1"/>
  <c r="H21" i="10" l="1"/>
  <c r="H22" i="10"/>
  <c r="G28" i="10"/>
  <c r="F37" i="10"/>
  <c r="G34" i="10" s="1"/>
  <c r="F9" i="11"/>
  <c r="F12" i="11" s="1"/>
  <c r="F13" i="11" s="1"/>
  <c r="F19" i="9"/>
  <c r="F20" i="9" s="1"/>
  <c r="I19" i="10" l="1"/>
  <c r="I20" i="10" s="1"/>
  <c r="H27" i="10"/>
  <c r="H25" i="10"/>
  <c r="H26" i="10"/>
  <c r="H6" i="11"/>
  <c r="H7" i="11" s="1"/>
  <c r="G15" i="9"/>
  <c r="G16" i="9" s="1"/>
  <c r="G18" i="9" s="1"/>
  <c r="G31" i="10" s="1"/>
  <c r="G32" i="10" s="1"/>
  <c r="G35" i="10" s="1"/>
  <c r="H33" i="10" s="1"/>
  <c r="G8" i="11"/>
  <c r="F35" i="11"/>
  <c r="F31" i="11"/>
  <c r="F32" i="11" s="1"/>
  <c r="G30" i="11" s="1"/>
  <c r="I22" i="10" l="1"/>
  <c r="I21" i="10"/>
  <c r="G36" i="10"/>
  <c r="G38" i="10" s="1"/>
  <c r="G40" i="10" s="1"/>
  <c r="H28" i="10"/>
  <c r="F36" i="11"/>
  <c r="G37" i="10" l="1"/>
  <c r="H34" i="10" s="1"/>
  <c r="J19" i="10"/>
  <c r="J20" i="10" s="1"/>
  <c r="H15" i="9"/>
  <c r="H16" i="9" s="1"/>
  <c r="H18" i="9" s="1"/>
  <c r="H31" i="10" s="1"/>
  <c r="H32" i="10" s="1"/>
  <c r="H35" i="10" s="1"/>
  <c r="H8" i="11"/>
  <c r="G19" i="9"/>
  <c r="G20" i="9" s="1"/>
  <c r="G9" i="11"/>
  <c r="G12" i="11" s="1"/>
  <c r="G13" i="11" s="1"/>
  <c r="I6" i="11"/>
  <c r="I7" i="11" s="1"/>
  <c r="I27" i="10"/>
  <c r="I25" i="10"/>
  <c r="I26" i="10"/>
  <c r="J21" i="10" l="1"/>
  <c r="J22" i="10"/>
  <c r="K20" i="10" s="1"/>
  <c r="I28" i="10"/>
  <c r="G31" i="11"/>
  <c r="G32" i="11" s="1"/>
  <c r="H30" i="11" s="1"/>
  <c r="G35" i="11"/>
  <c r="I33" i="10"/>
  <c r="H36" i="10"/>
  <c r="H38" i="10" s="1"/>
  <c r="H40" i="10" s="1"/>
  <c r="J26" i="10" l="1"/>
  <c r="J25" i="10"/>
  <c r="J6" i="11"/>
  <c r="J7" i="11" s="1"/>
  <c r="J27" i="10"/>
  <c r="H9" i="11"/>
  <c r="H12" i="11" s="1"/>
  <c r="H13" i="11" s="1"/>
  <c r="H19" i="9"/>
  <c r="H20" i="9" s="1"/>
  <c r="H37" i="10"/>
  <c r="I34" i="10" s="1"/>
  <c r="G36" i="11"/>
  <c r="I15" i="9"/>
  <c r="I16" i="9" s="1"/>
  <c r="I18" i="9" s="1"/>
  <c r="I31" i="10" s="1"/>
  <c r="I32" i="10" s="1"/>
  <c r="I35" i="10" s="1"/>
  <c r="I8" i="11"/>
  <c r="K22" i="10"/>
  <c r="L20" i="10" s="1"/>
  <c r="K21" i="10"/>
  <c r="L22" i="10" l="1"/>
  <c r="L21" i="10"/>
  <c r="J33" i="10"/>
  <c r="I36" i="10"/>
  <c r="I38" i="10" s="1"/>
  <c r="I40" i="10" s="1"/>
  <c r="H35" i="11"/>
  <c r="H36" i="11" s="1"/>
  <c r="H31" i="11"/>
  <c r="H32" i="11" s="1"/>
  <c r="I30" i="11" s="1"/>
  <c r="K6" i="11"/>
  <c r="K7" i="11" s="1"/>
  <c r="K26" i="10"/>
  <c r="K27" i="10"/>
  <c r="K25" i="10"/>
  <c r="J28" i="10"/>
  <c r="K28" i="10" l="1"/>
  <c r="K15" i="9" s="1"/>
  <c r="K16" i="9" s="1"/>
  <c r="K18" i="9" s="1"/>
  <c r="K31" i="10" s="1"/>
  <c r="K32" i="10" s="1"/>
  <c r="K35" i="10" s="1"/>
  <c r="J15" i="9"/>
  <c r="J16" i="9" s="1"/>
  <c r="J18" i="9" s="1"/>
  <c r="J31" i="10" s="1"/>
  <c r="J32" i="10" s="1"/>
  <c r="J35" i="10" s="1"/>
  <c r="J8" i="11"/>
  <c r="I9" i="11"/>
  <c r="I12" i="11" s="1"/>
  <c r="I13" i="11" s="1"/>
  <c r="I19" i="9"/>
  <c r="I20" i="9" s="1"/>
  <c r="I37" i="10"/>
  <c r="J34" i="10" s="1"/>
  <c r="L26" i="10"/>
  <c r="L6" i="11"/>
  <c r="L7" i="11" s="1"/>
  <c r="L27" i="10"/>
  <c r="L25" i="10"/>
  <c r="K8" i="11" l="1"/>
  <c r="L28" i="10"/>
  <c r="L15" i="9" s="1"/>
  <c r="L16" i="9" s="1"/>
  <c r="L18" i="9" s="1"/>
  <c r="L31" i="10" s="1"/>
  <c r="L32" i="10" s="1"/>
  <c r="L35" i="10" s="1"/>
  <c r="J36" i="10"/>
  <c r="J38" i="10" s="1"/>
  <c r="J40" i="10" s="1"/>
  <c r="I35" i="11"/>
  <c r="I31" i="11"/>
  <c r="I32" i="11" s="1"/>
  <c r="J30" i="11" s="1"/>
  <c r="L33" i="10"/>
  <c r="K33" i="10"/>
  <c r="J37" i="10" l="1"/>
  <c r="K34" i="10" s="1"/>
  <c r="L8" i="11"/>
  <c r="I36" i="11"/>
  <c r="J9" i="11"/>
  <c r="J12" i="11" s="1"/>
  <c r="J13" i="11" s="1"/>
  <c r="J19" i="9"/>
  <c r="J20" i="9" s="1"/>
  <c r="K36" i="10" l="1"/>
  <c r="K38" i="10" s="1"/>
  <c r="K40" i="10" s="1"/>
  <c r="J31" i="11"/>
  <c r="J32" i="11" s="1"/>
  <c r="J35" i="11"/>
  <c r="K37" i="10" l="1"/>
  <c r="L34" i="10" s="1"/>
  <c r="K19" i="9"/>
  <c r="K20" i="9" s="1"/>
  <c r="K9" i="11"/>
  <c r="K12" i="11" s="1"/>
  <c r="K13" i="11" s="1"/>
  <c r="J36" i="11"/>
  <c r="L36" i="10" l="1"/>
  <c r="L38" i="10" s="1"/>
  <c r="L40" i="10" s="1"/>
  <c r="K35" i="11"/>
  <c r="K31" i="11"/>
  <c r="K32" i="11" s="1"/>
  <c r="L37" i="10" l="1"/>
  <c r="L9" i="11"/>
  <c r="L12" i="11" s="1"/>
  <c r="L13" i="11" s="1"/>
  <c r="L19" i="9"/>
  <c r="L20" i="9" s="1"/>
  <c r="K36" i="11"/>
  <c r="L35" i="11" l="1"/>
  <c r="L31" i="11"/>
  <c r="L32" i="11" s="1"/>
  <c r="C42" i="11" l="1"/>
  <c r="C58" i="4" s="1"/>
  <c r="C41" i="11"/>
  <c r="C57" i="4" s="1"/>
  <c r="L36" i="11"/>
  <c r="C39" i="11" s="1" a="1"/>
  <c r="C39" i="11" s="1"/>
  <c r="C55" i="4" s="1"/>
  <c r="C40" i="11"/>
  <c r="C5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<sst xmlns="http://schemas.openxmlformats.org/spreadsheetml/2006/main" count="457" uniqueCount="347">
  <si>
    <t>车位服务费</t>
    <phoneticPr fontId="2" type="noConversion"/>
  </si>
  <si>
    <t>每个车位XX天*充电量*度电单价</t>
    <phoneticPr fontId="2" type="noConversion"/>
  </si>
  <si>
    <t>天</t>
    <phoneticPr fontId="2" type="noConversion"/>
  </si>
  <si>
    <t>车位数</t>
    <phoneticPr fontId="2" type="noConversion"/>
  </si>
  <si>
    <t>①车位服务费</t>
    <phoneticPr fontId="2" type="noConversion"/>
  </si>
  <si>
    <t>②充放价差</t>
    <phoneticPr fontId="2" type="noConversion"/>
  </si>
  <si>
    <t>③政府补贴</t>
    <phoneticPr fontId="2" type="noConversion"/>
  </si>
  <si>
    <t>江苏政策：两部制到单一制</t>
    <phoneticPr fontId="2" type="noConversion"/>
  </si>
  <si>
    <t>上海政策：相应次数</t>
    <phoneticPr fontId="2" type="noConversion"/>
  </si>
  <si>
    <t>放电电量(kwh)</t>
    <phoneticPr fontId="2" type="noConversion"/>
  </si>
  <si>
    <t>kwh/元</t>
    <phoneticPr fontId="2" type="noConversion"/>
  </si>
  <si>
    <t>②政府补贴</t>
    <phoneticPr fontId="2" type="noConversion"/>
  </si>
  <si>
    <t>收入</t>
    <phoneticPr fontId="2" type="noConversion"/>
  </si>
  <si>
    <t>成本</t>
    <phoneticPr fontId="2" type="noConversion"/>
  </si>
  <si>
    <t>税前利润</t>
    <phoneticPr fontId="2" type="noConversion"/>
  </si>
  <si>
    <t>所得税</t>
    <phoneticPr fontId="2" type="noConversion"/>
  </si>
  <si>
    <t>净利润</t>
    <phoneticPr fontId="2" type="noConversion"/>
  </si>
  <si>
    <t>现金流入</t>
    <phoneticPr fontId="2" type="noConversion"/>
  </si>
  <si>
    <t>政府补偿</t>
    <phoneticPr fontId="2" type="noConversion"/>
  </si>
  <si>
    <t>价差收益</t>
    <phoneticPr fontId="2" type="noConversion"/>
  </si>
  <si>
    <t>现金流出</t>
    <phoneticPr fontId="2" type="noConversion"/>
  </si>
  <si>
    <t>三免三减半</t>
    <phoneticPr fontId="2" type="noConversion"/>
  </si>
  <si>
    <t>运维费用</t>
    <phoneticPr fontId="2" type="noConversion"/>
  </si>
  <si>
    <t>增值税</t>
    <phoneticPr fontId="2" type="noConversion"/>
  </si>
  <si>
    <t>净现金流</t>
    <phoneticPr fontId="2" type="noConversion"/>
  </si>
  <si>
    <t>建设费用</t>
    <phoneticPr fontId="2" type="noConversion"/>
  </si>
  <si>
    <t>万元</t>
    <phoneticPr fontId="2" type="noConversion"/>
  </si>
  <si>
    <t>费用</t>
    <phoneticPr fontId="2" type="noConversion"/>
  </si>
  <si>
    <t>资本性支出</t>
    <phoneticPr fontId="2" type="noConversion"/>
  </si>
  <si>
    <t>第0年</t>
    <phoneticPr fontId="2" type="noConversion"/>
  </si>
  <si>
    <t>第1年</t>
    <phoneticPr fontId="2" type="noConversion"/>
  </si>
  <si>
    <t>第2年</t>
  </si>
  <si>
    <t>第3年</t>
  </si>
  <si>
    <t>第4年</t>
  </si>
  <si>
    <t>第5年</t>
  </si>
  <si>
    <t>第6年</t>
  </si>
  <si>
    <t>第7年</t>
  </si>
  <si>
    <t>第8年</t>
  </si>
  <si>
    <t>车主充电(kwh)</t>
    <phoneticPr fontId="2" type="noConversion"/>
  </si>
  <si>
    <t>④表前：峰谷价差</t>
    <phoneticPr fontId="2" type="noConversion"/>
  </si>
  <si>
    <t>③表后：客户价差收费</t>
    <phoneticPr fontId="2" type="noConversion"/>
  </si>
  <si>
    <t>辅助市场服务</t>
    <phoneticPr fontId="2" type="noConversion"/>
  </si>
  <si>
    <t>补贴有多少给客户</t>
    <phoneticPr fontId="2" type="noConversion"/>
  </si>
  <si>
    <t>比例</t>
    <phoneticPr fontId="2" type="noConversion"/>
  </si>
  <si>
    <t>相应次数</t>
    <phoneticPr fontId="2" type="noConversion"/>
  </si>
  <si>
    <t>系统</t>
  </si>
  <si>
    <t>分项</t>
  </si>
  <si>
    <t>明细</t>
  </si>
  <si>
    <t>初投资（含税）</t>
  </si>
  <si>
    <t>单位</t>
  </si>
  <si>
    <t>税率</t>
  </si>
  <si>
    <t>不含税</t>
  </si>
  <si>
    <t>假设依据，设备价最下方</t>
  </si>
  <si>
    <t>数量</t>
  </si>
  <si>
    <t>单价</t>
  </si>
  <si>
    <t>总价</t>
  </si>
  <si>
    <t>充电桩系统</t>
  </si>
  <si>
    <t>超充桩*</t>
  </si>
  <si>
    <t>480kW一拖四</t>
  </si>
  <si>
    <t>万元</t>
  </si>
  <si>
    <t>按照50w</t>
  </si>
  <si>
    <t>240kW一拖四</t>
  </si>
  <si>
    <t>直流桩*</t>
  </si>
  <si>
    <t>120kW一拖二</t>
    <phoneticPr fontId="12" type="noConversion"/>
  </si>
  <si>
    <t>施工安装</t>
  </si>
  <si>
    <t>电缆、土建、安装等</t>
  </si>
  <si>
    <t>典型场景造价  0.4元/瓦</t>
    <phoneticPr fontId="12" type="noConversion"/>
  </si>
  <si>
    <t>光伏</t>
  </si>
  <si>
    <t>万元　</t>
  </si>
  <si>
    <t>储能系统</t>
  </si>
  <si>
    <t>储能柜*</t>
  </si>
  <si>
    <t>262kWh工商储柜*1</t>
  </si>
  <si>
    <t>安装+土建</t>
  </si>
  <si>
    <t>0.25元/Wh</t>
  </si>
  <si>
    <t>智慧充电运营</t>
  </si>
  <si>
    <t>微网控制器EGC*</t>
  </si>
  <si>
    <t>设备及授权</t>
  </si>
  <si>
    <t>运维管理系统</t>
  </si>
  <si>
    <t>接入费用*</t>
  </si>
  <si>
    <t>充电桩接入费用</t>
  </si>
  <si>
    <t>其他</t>
  </si>
  <si>
    <t>场站协调</t>
  </si>
  <si>
    <t>道闸、监控系统API打通</t>
  </si>
  <si>
    <t>项目规模差异不大，投入基本一致</t>
  </si>
  <si>
    <t>设计及手续</t>
  </si>
  <si>
    <t>设计及相关手续</t>
  </si>
  <si>
    <t>合计</t>
  </si>
  <si>
    <t>V2G桩*</t>
    <phoneticPr fontId="2" type="noConversion"/>
  </si>
  <si>
    <t>132kW一拖二</t>
    <phoneticPr fontId="12" type="noConversion"/>
  </si>
  <si>
    <t>按照中德目前报价9.8w</t>
    <phoneticPr fontId="2" type="noConversion"/>
  </si>
  <si>
    <t>工商储0.7元/kwh</t>
    <phoneticPr fontId="12" type="noConversion"/>
  </si>
  <si>
    <t>参考中德项目报价</t>
    <phoneticPr fontId="2" type="noConversion"/>
  </si>
  <si>
    <t>运营费（含税）</t>
  </si>
  <si>
    <t>充电桩运维</t>
  </si>
  <si>
    <t>充电桩巡检费</t>
  </si>
  <si>
    <t>工单巡检</t>
  </si>
  <si>
    <t>充电桩每年运维费</t>
  </si>
  <si>
    <t>易损件、零部件等</t>
  </si>
  <si>
    <t>充电桩运营人工</t>
  </si>
  <si>
    <t>充电桩保险费</t>
  </si>
  <si>
    <t>保险费</t>
  </si>
  <si>
    <t>智慧充电运营运维管理系统费*</t>
  </si>
  <si>
    <t>订阅+运营费</t>
  </si>
  <si>
    <t>光伏运维费</t>
  </si>
  <si>
    <t>巡检+维修</t>
  </si>
  <si>
    <t>储能</t>
  </si>
  <si>
    <t>储能运维</t>
  </si>
  <si>
    <t>储能保险</t>
  </si>
  <si>
    <t>能源管理系统</t>
  </si>
  <si>
    <t>储充微网系统*</t>
  </si>
  <si>
    <t>订阅费+运营费</t>
  </si>
  <si>
    <t>车位租金</t>
  </si>
  <si>
    <t>车位费</t>
  </si>
  <si>
    <t>12个车位</t>
  </si>
  <si>
    <t>流量曝光</t>
  </si>
  <si>
    <t>地图投放、检索</t>
  </si>
  <si>
    <t>百度</t>
  </si>
  <si>
    <t>电损</t>
  </si>
  <si>
    <t>充电损耗</t>
  </si>
  <si>
    <t>5%耗电量</t>
  </si>
  <si>
    <t>运维费用合计</t>
  </si>
  <si>
    <t>VAT</t>
  </si>
  <si>
    <t>假设依据</t>
  </si>
  <si>
    <t>每季度巡检1次，直流桩50元/设备，超充算6个设备，快充算2各设备，上海上门费500元/次</t>
  </si>
  <si>
    <t>超充总价的6%/年，直流桩总价的5%/年，交流总价的5%/年</t>
  </si>
  <si>
    <t>设备总价的0.2%</t>
  </si>
  <si>
    <t>用电损耗占总用电量5%，同时使用项目所在地平均电价</t>
  </si>
  <si>
    <t>超充算4个设备，1个设备150/年，直流按桩数量算</t>
    <phoneticPr fontId="2" type="noConversion"/>
  </si>
  <si>
    <t>-</t>
    <phoneticPr fontId="2" type="noConversion"/>
  </si>
  <si>
    <t>按中德报价，微网系统2w</t>
    <phoneticPr fontId="2" type="noConversion"/>
  </si>
  <si>
    <t>超充3000，直流桩400（这里参考中德报价1w）</t>
    <phoneticPr fontId="2" type="noConversion"/>
  </si>
  <si>
    <t>capex</t>
    <phoneticPr fontId="2" type="noConversion"/>
  </si>
  <si>
    <t>opex</t>
    <phoneticPr fontId="2" type="noConversion"/>
  </si>
  <si>
    <r>
      <t>每年20次，每次1元/度，</t>
    </r>
    <r>
      <rPr>
        <sz val="11"/>
        <color rgb="FFFF0000"/>
        <rFont val="微软雅黑"/>
        <family val="2"/>
        <charset val="134"/>
      </rPr>
      <t>每次多少度待考证</t>
    </r>
    <phoneticPr fontId="2" type="noConversion"/>
  </si>
  <si>
    <t>③表后+④表前总收益等于储能峰谷套利收益</t>
    <phoneticPr fontId="2" type="noConversion"/>
  </si>
  <si>
    <t>按照分成的逻辑，与收入挂钩,这里不考虑分成</t>
    <phoneticPr fontId="2" type="noConversion"/>
  </si>
  <si>
    <t>充电桩成本电价</t>
  </si>
  <si>
    <t>工程及运营信息</t>
  </si>
  <si>
    <t>项目所在省份</t>
  </si>
  <si>
    <t>项目类型</t>
  </si>
  <si>
    <t>项目运营结束年月日</t>
  </si>
  <si>
    <t>充电桩</t>
  </si>
  <si>
    <t>车位数-超充（个）</t>
  </si>
  <si>
    <t>车位数-快充（个）</t>
  </si>
  <si>
    <t>年有效天数（天）</t>
  </si>
  <si>
    <t>每天每车位平均充电车辆-超充（辆）</t>
  </si>
  <si>
    <t>年服务费-超充（万元）</t>
  </si>
  <si>
    <t>每天每车位平均充电车辆-快充（辆）</t>
  </si>
  <si>
    <t>车均充电电量-快充（kwh）</t>
  </si>
  <si>
    <t>服务费-快充（元/kwh）</t>
  </si>
  <si>
    <t>年服务费-快充（万元）</t>
  </si>
  <si>
    <t>每天每车位平均充电车辆-慢充（辆）</t>
  </si>
  <si>
    <t>车均充电电量-慢充（kwh）</t>
  </si>
  <si>
    <t>服务费-慢充（元/kwh）</t>
  </si>
  <si>
    <t>年服务费-慢充（万元）</t>
  </si>
  <si>
    <t>充电桩折旧</t>
  </si>
  <si>
    <t>充电桩折旧年限</t>
  </si>
  <si>
    <t>残值率</t>
  </si>
  <si>
    <t>后续年充电桩衰减率</t>
  </si>
  <si>
    <t>年衰减情况</t>
  </si>
  <si>
    <t>线性衰减</t>
  </si>
  <si>
    <t>内容明细</t>
  </si>
  <si>
    <t>可做下拉框</t>
    <phoneticPr fontId="2" type="noConversion"/>
  </si>
  <si>
    <t>项目开工年月日</t>
    <phoneticPr fontId="2" type="noConversion"/>
  </si>
  <si>
    <t>建设期月数（估）</t>
    <phoneticPr fontId="2" type="noConversion"/>
  </si>
  <si>
    <t>运营开始年月日</t>
    <phoneticPr fontId="2" type="noConversion"/>
  </si>
  <si>
    <t>备注：</t>
    <phoneticPr fontId="2" type="noConversion"/>
  </si>
  <si>
    <t>车位数 - V2G桩（个）</t>
    <phoneticPr fontId="2" type="noConversion"/>
  </si>
  <si>
    <t>每天每车位平均充电车辆-V2G（辆）</t>
    <phoneticPr fontId="2" type="noConversion"/>
  </si>
  <si>
    <t>车均充电电量-V2G（kwh）</t>
    <phoneticPr fontId="2" type="noConversion"/>
  </si>
  <si>
    <t>服务费-V2G（元/kwh）</t>
    <phoneticPr fontId="2" type="noConversion"/>
  </si>
  <si>
    <t>年服务费-V2G（万元）</t>
    <phoneticPr fontId="2" type="noConversion"/>
  </si>
  <si>
    <t>车均充电电量-超充（kwh）</t>
    <phoneticPr fontId="2" type="noConversion"/>
  </si>
  <si>
    <t>服务费-超充（元/kwh）</t>
    <phoneticPr fontId="2" type="noConversion"/>
  </si>
  <si>
    <t>余电比例%</t>
    <phoneticPr fontId="2" type="noConversion"/>
  </si>
  <si>
    <t>放电电价（元/kwh）</t>
    <phoneticPr fontId="2" type="noConversion"/>
  </si>
  <si>
    <t>储能柜数量（pcs)</t>
    <phoneticPr fontId="2" type="noConversion"/>
  </si>
  <si>
    <t>储能柜容量（kwh）</t>
    <phoneticPr fontId="2" type="noConversion"/>
  </si>
  <si>
    <t>储能端返送电网收益（万元）</t>
    <phoneticPr fontId="2" type="noConversion"/>
  </si>
  <si>
    <t>年平均响应次数</t>
    <phoneticPr fontId="2" type="noConversion"/>
  </si>
  <si>
    <t>每次响应电价（元/kwh）</t>
    <phoneticPr fontId="2" type="noConversion"/>
  </si>
  <si>
    <t>每次响应电量（kwh）</t>
    <phoneticPr fontId="2" type="noConversion"/>
  </si>
  <si>
    <t>辅助市场服务收益（万元）</t>
    <phoneticPr fontId="2" type="noConversion"/>
  </si>
  <si>
    <t>车位数-慢充（个）</t>
    <phoneticPr fontId="2" type="noConversion"/>
  </si>
  <si>
    <t>120kW一拖二</t>
  </si>
  <si>
    <t>V2G桩*</t>
  </si>
  <si>
    <t>132kW一拖二</t>
  </si>
  <si>
    <t>储能系统</t>
    <phoneticPr fontId="2" type="noConversion"/>
  </si>
  <si>
    <t>其它</t>
    <phoneticPr fontId="2" type="noConversion"/>
  </si>
  <si>
    <t>总计</t>
    <phoneticPr fontId="2" type="noConversion"/>
  </si>
  <si>
    <t>总价（万元）</t>
    <phoneticPr fontId="2" type="noConversion"/>
  </si>
  <si>
    <t>包头</t>
    <phoneticPr fontId="2" type="noConversion"/>
  </si>
  <si>
    <t>运行年限（年）</t>
    <phoneticPr fontId="2" type="noConversion"/>
  </si>
  <si>
    <t>储充</t>
  </si>
  <si>
    <t>年限不确定，初版按照充电桩寿命确定的运行年限</t>
    <phoneticPr fontId="2" type="noConversion"/>
  </si>
  <si>
    <t>预估</t>
    <phoneticPr fontId="2" type="noConversion"/>
  </si>
  <si>
    <t>储能柜容量(kwh)</t>
    <phoneticPr fontId="2" type="noConversion"/>
  </si>
  <si>
    <t>电池衰减</t>
    <phoneticPr fontId="15" type="noConversion"/>
  </si>
  <si>
    <t>储能柜电池荷电状态(SOC)</t>
    <phoneticPr fontId="2" type="noConversion"/>
  </si>
  <si>
    <t>电池充放电效率(RTE)</t>
    <phoneticPr fontId="2" type="noConversion"/>
  </si>
  <si>
    <t>首年电池衰减率(SOH)</t>
    <phoneticPr fontId="2" type="noConversion"/>
  </si>
  <si>
    <t>储能柜放电电量</t>
    <phoneticPr fontId="2" type="noConversion"/>
  </si>
  <si>
    <t>客户端充电电费(国网电价峰值/包头两月）</t>
    <phoneticPr fontId="2" type="noConversion"/>
  </si>
  <si>
    <t>客户端使用储能柜充电成本(国网电价谷值/包头两月）</t>
    <phoneticPr fontId="2" type="noConversion"/>
  </si>
  <si>
    <t>使用比例</t>
    <phoneticPr fontId="2" type="noConversion"/>
  </si>
  <si>
    <t>首年充放价差收益(万元）</t>
    <phoneticPr fontId="2" type="noConversion"/>
  </si>
  <si>
    <t>V2G桩</t>
    <phoneticPr fontId="2" type="noConversion"/>
  </si>
  <si>
    <t>场站每度服务费</t>
    <phoneticPr fontId="2" type="noConversion"/>
  </si>
  <si>
    <t>单车位返送度数(kwh)</t>
    <phoneticPr fontId="2" type="noConversion"/>
  </si>
  <si>
    <t>充电桩巡检费</t>
    <phoneticPr fontId="2" type="noConversion"/>
  </si>
  <si>
    <t>充电桩每年运维费</t>
    <phoneticPr fontId="2" type="noConversion"/>
  </si>
  <si>
    <t>充电桩运营人工</t>
    <phoneticPr fontId="2" type="noConversion"/>
  </si>
  <si>
    <t>充电桩保险费</t>
    <phoneticPr fontId="2" type="noConversion"/>
  </si>
  <si>
    <t>智慧充电运营运维管理系统费*</t>
    <phoneticPr fontId="2" type="noConversion"/>
  </si>
  <si>
    <t>光伏运维费</t>
    <phoneticPr fontId="2" type="noConversion"/>
  </si>
  <si>
    <t>储能运维</t>
    <phoneticPr fontId="2" type="noConversion"/>
  </si>
  <si>
    <t>储能保险</t>
    <phoneticPr fontId="2" type="noConversion"/>
  </si>
  <si>
    <t>储充微网系统*</t>
    <phoneticPr fontId="2" type="noConversion"/>
  </si>
  <si>
    <t>车位费</t>
    <phoneticPr fontId="2" type="noConversion"/>
  </si>
  <si>
    <t>地图投放、检索</t>
    <phoneticPr fontId="2" type="noConversion"/>
  </si>
  <si>
    <t>充电损耗</t>
    <phoneticPr fontId="2" type="noConversion"/>
  </si>
  <si>
    <t>充电损耗增长比例</t>
    <phoneticPr fontId="2" type="noConversion"/>
  </si>
  <si>
    <t>运维增长比例</t>
    <phoneticPr fontId="2" type="noConversion"/>
  </si>
  <si>
    <t>税率</t>
    <phoneticPr fontId="2" type="noConversion"/>
  </si>
  <si>
    <t>静态投资输入表(含税）</t>
    <phoneticPr fontId="2" type="noConversion"/>
  </si>
  <si>
    <t>充电桩年运维成本(含税）</t>
    <phoneticPr fontId="2" type="noConversion"/>
  </si>
  <si>
    <t>V2G场站收益(万元）</t>
    <phoneticPr fontId="2" type="noConversion"/>
  </si>
  <si>
    <t>利润表</t>
  </si>
  <si>
    <t>项目</t>
  </si>
  <si>
    <t>T0</t>
  </si>
  <si>
    <t>三、税前利润(EBT)</t>
  </si>
  <si>
    <t>四、所得税费用</t>
  </si>
  <si>
    <t>五、净利润</t>
  </si>
  <si>
    <t>税务计算表</t>
  </si>
  <si>
    <t>一、销项税额</t>
  </si>
  <si>
    <t>二、进项税额</t>
  </si>
  <si>
    <t>三、增值税计算</t>
  </si>
  <si>
    <t>四、附加税</t>
  </si>
  <si>
    <t>五、企业所得税计算</t>
  </si>
  <si>
    <t>现金流量表</t>
    <phoneticPr fontId="12" type="noConversion"/>
  </si>
  <si>
    <t>一、经营活动产生的现金流量</t>
  </si>
  <si>
    <t xml:space="preserve">  销售商品、提供劳务收到的现金</t>
  </si>
  <si>
    <t xml:space="preserve">  收到的增值税进项税返还</t>
    <phoneticPr fontId="12" type="noConversion"/>
  </si>
  <si>
    <t xml:space="preserve">  经营活动现金流入小计</t>
  </si>
  <si>
    <t xml:space="preserve">  支付的各项税费（附加税）</t>
  </si>
  <si>
    <t xml:space="preserve">  支付的各项税费（所得税）</t>
  </si>
  <si>
    <t xml:space="preserve">  支付其他与经营活动有关的现金</t>
  </si>
  <si>
    <t xml:space="preserve">  经营活动现金流出小计</t>
  </si>
  <si>
    <t xml:space="preserve">  经营活动产生的现金流量净额</t>
  </si>
  <si>
    <t>二、投资活动产生的现金流量</t>
  </si>
  <si>
    <t xml:space="preserve">  收回投资收到的现金</t>
  </si>
  <si>
    <t xml:space="preserve">  投资活动现金流入小计</t>
  </si>
  <si>
    <t xml:space="preserve">  购建固定资产、无形资产支付的现金</t>
  </si>
  <si>
    <t xml:space="preserve">  投资活动现金流出小计</t>
  </si>
  <si>
    <t xml:space="preserve">  投资活动产生的现金流量净额</t>
  </si>
  <si>
    <t>三、筹资活动产生的现金流量</t>
  </si>
  <si>
    <t xml:space="preserve">  吸收投资收到的现金</t>
  </si>
  <si>
    <t xml:space="preserve">  筹资活动现金流入小计</t>
  </si>
  <si>
    <t xml:space="preserve">  分配股利、利润支付的现金</t>
  </si>
  <si>
    <t xml:space="preserve">  筹资活动现金流出小计</t>
  </si>
  <si>
    <t xml:space="preserve">  筹资活动产生的现金流量净额</t>
  </si>
  <si>
    <t>四、净现金流</t>
  </si>
  <si>
    <t xml:space="preserve">  期初现金余额</t>
  </si>
  <si>
    <t xml:space="preserve">  净现金流</t>
  </si>
  <si>
    <t xml:space="preserve">  期末现金余额</t>
  </si>
  <si>
    <t xml:space="preserve">  项目全投资现金流</t>
  </si>
  <si>
    <t xml:space="preserve">  项目累积全投资现金流</t>
  </si>
  <si>
    <t xml:space="preserve">  1.静态投资回收期（年）</t>
  </si>
  <si>
    <t>车位/充电桩配置</t>
    <phoneticPr fontId="2" type="noConversion"/>
  </si>
  <si>
    <t>单价</t>
    <phoneticPr fontId="2" type="noConversion"/>
  </si>
  <si>
    <t>充电服务费收益 (含税)</t>
    <phoneticPr fontId="2" type="noConversion"/>
  </si>
  <si>
    <t>客户端充放价差收益(含税)</t>
    <phoneticPr fontId="2" type="noConversion"/>
  </si>
  <si>
    <t>V2G充电桩返送电网收益(含税)</t>
    <phoneticPr fontId="2" type="noConversion"/>
  </si>
  <si>
    <t>储能端返送电网收益(含税)</t>
    <phoneticPr fontId="2" type="noConversion"/>
  </si>
  <si>
    <t>储能柜充电电量(kwh)</t>
    <phoneticPr fontId="2" type="noConversion"/>
  </si>
  <si>
    <t>SOH</t>
    <phoneticPr fontId="2" type="noConversion"/>
  </si>
  <si>
    <t>储能柜放电电量(kwh)</t>
    <phoneticPr fontId="2" type="noConversion"/>
  </si>
  <si>
    <t>4.V2G充电桩返送电网收益</t>
    <phoneticPr fontId="2" type="noConversion"/>
  </si>
  <si>
    <t>辅助服务市场(含税)</t>
    <phoneticPr fontId="2" type="noConversion"/>
  </si>
  <si>
    <t>5.辅助服务市场</t>
    <phoneticPr fontId="2" type="noConversion"/>
  </si>
  <si>
    <t>增值税（万元）</t>
    <phoneticPr fontId="2" type="noConversion"/>
  </si>
  <si>
    <t>原值（万元）</t>
    <phoneticPr fontId="2" type="noConversion"/>
  </si>
  <si>
    <t xml:space="preserve">  折现日期</t>
    <phoneticPr fontId="2" type="noConversion"/>
  </si>
  <si>
    <t xml:space="preserve">  3.IRR（内部收益率）</t>
    <phoneticPr fontId="12" type="noConversion"/>
  </si>
  <si>
    <t xml:space="preserve">  4.PI（盈利指数）</t>
    <phoneticPr fontId="12" type="noConversion"/>
  </si>
  <si>
    <t>日总充电电量(kwh)</t>
    <phoneticPr fontId="2" type="noConversion"/>
  </si>
  <si>
    <t>1.充电服务费收益(万元)</t>
  </si>
  <si>
    <t>2.储能柜：客户端放电收益</t>
  </si>
  <si>
    <t>3.储能柜：送电网放电收益</t>
  </si>
  <si>
    <t>营业收入合计</t>
  </si>
  <si>
    <t>1.储能柜充电成本</t>
  </si>
  <si>
    <t>2.折旧费用</t>
  </si>
  <si>
    <t>3.运营费用</t>
  </si>
  <si>
    <t>4.附加税</t>
  </si>
  <si>
    <t>营业成本合计</t>
  </si>
  <si>
    <t>五、财务评价指标</t>
    <phoneticPr fontId="2" type="noConversion"/>
  </si>
  <si>
    <t>销项税合计</t>
  </si>
  <si>
    <t>T0CAPEX进项税</t>
  </si>
  <si>
    <t>进项税合计</t>
  </si>
  <si>
    <t>期初留抵税额</t>
  </si>
  <si>
    <t>本期增加可抵扣进项税</t>
  </si>
  <si>
    <t>应交增值税</t>
  </si>
  <si>
    <t>期末留抵税额</t>
  </si>
  <si>
    <t>城建税(7%)</t>
  </si>
  <si>
    <t>教育费附加(3%)</t>
  </si>
  <si>
    <t>地方教育附加(2%)</t>
  </si>
  <si>
    <t>附加税合计</t>
  </si>
  <si>
    <t>税前利润(引用利润表)</t>
  </si>
  <si>
    <t>纳税调整前所得</t>
  </si>
  <si>
    <t>未过期亏损</t>
  </si>
  <si>
    <t>期初可弥补亏损(5年期内)</t>
  </si>
  <si>
    <t>加：当年新增亏损</t>
  </si>
  <si>
    <t>减：当年使用可弥补亏损</t>
  </si>
  <si>
    <t>期末可弥补亏损(5年期内)</t>
  </si>
  <si>
    <t>应纳税所得额</t>
  </si>
  <si>
    <t>所得税率(25%，三免三减半）</t>
  </si>
  <si>
    <t>应纳所得税额</t>
  </si>
  <si>
    <t>运营进项税</t>
    <phoneticPr fontId="2" type="noConversion"/>
  </si>
  <si>
    <t>储能柜电费进项税</t>
    <phoneticPr fontId="2" type="noConversion"/>
  </si>
  <si>
    <t xml:space="preserve">  支付充电电费</t>
    <phoneticPr fontId="2" type="noConversion"/>
  </si>
  <si>
    <t>附表1：</t>
    <phoneticPr fontId="2" type="noConversion"/>
  </si>
  <si>
    <t>附表2：</t>
    <phoneticPr fontId="2" type="noConversion"/>
  </si>
  <si>
    <t>运维费(不含税)</t>
    <phoneticPr fontId="2" type="noConversion"/>
  </si>
  <si>
    <t>运维费进项税</t>
    <phoneticPr fontId="2" type="noConversion"/>
  </si>
  <si>
    <t>262储能柜日充放次数</t>
    <phoneticPr fontId="2" type="noConversion"/>
  </si>
  <si>
    <t>财务评价指标</t>
    <phoneticPr fontId="2" type="noConversion"/>
  </si>
  <si>
    <t>9.8</t>
    <phoneticPr fontId="2" type="noConversion"/>
  </si>
  <si>
    <t>2</t>
    <phoneticPr fontId="2" type="noConversion"/>
  </si>
  <si>
    <t>11</t>
    <phoneticPr fontId="2" type="noConversion"/>
  </si>
  <si>
    <t>1</t>
    <phoneticPr fontId="2" type="noConversion"/>
  </si>
  <si>
    <t>50</t>
    <phoneticPr fontId="2" type="noConversion"/>
  </si>
  <si>
    <t>3.5</t>
    <phoneticPr fontId="2" type="noConversion"/>
  </si>
  <si>
    <t>0</t>
    <phoneticPr fontId="2" type="noConversion"/>
  </si>
  <si>
    <t>18.3</t>
    <phoneticPr fontId="2" type="noConversion"/>
  </si>
  <si>
    <t>23.58</t>
    <phoneticPr fontId="2" type="noConversion"/>
  </si>
  <si>
    <t>126.72</t>
    <phoneticPr fontId="2" type="noConversion"/>
  </si>
  <si>
    <t>数量（套）</t>
    <phoneticPr fontId="2" type="noConversion"/>
  </si>
  <si>
    <t>(组件0.9/Wp)</t>
    <phoneticPr fontId="2" type="noConversion"/>
  </si>
  <si>
    <t>　588kW光伏系统</t>
    <phoneticPr fontId="2" type="noConversion"/>
  </si>
  <si>
    <t>包括安装、土建</t>
    <phoneticPr fontId="2" type="noConversion"/>
  </si>
  <si>
    <t>2000kVA箱变（购买设备）</t>
    <phoneticPr fontId="2" type="noConversion"/>
  </si>
  <si>
    <t>262kWh工商储柜*2</t>
    <phoneticPr fontId="2" type="noConversion"/>
  </si>
  <si>
    <t>20元/kwh</t>
    <phoneticPr fontId="2" type="noConversion"/>
  </si>
  <si>
    <t>40.5</t>
    <phoneticPr fontId="2" type="noConversion"/>
  </si>
  <si>
    <t>67.9</t>
    <phoneticPr fontId="2" type="noConversion"/>
  </si>
  <si>
    <t>增加广告建设费用</t>
    <phoneticPr fontId="2" type="noConversion"/>
  </si>
  <si>
    <t>增加车网互动功能费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</si>
</sst>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76" formatCode="#,##0_ "/>
    <numFmt numFmtId="177" formatCode="#,##0.00_ "/>
    <numFmt numFmtId="178" formatCode="#,##0.0_ "/>
    <numFmt numFmtId="179" formatCode="_ * #,##0.0_ ;_ * \-#,##0.0_ ;_ * &quot;-&quot;??_ ;_ @_ "/>
    <numFmt numFmtId="180" formatCode="0.00_);[Red]\(0.00\)"/>
    <numFmt numFmtId="181" formatCode="0_);[Red]\(0\)"/>
    <numFmt numFmtId="182" formatCode="_ * #,##0_ ;_ * \-#,##0_ ;_ * &quot;-&quot;??_ ;_ @_ "/>
    <numFmt numFmtId="183" formatCode="0.0%"/>
  </numFmts>
  <fonts count="29" x14ac:knownFonts="1">
    <font>
      <sz val="11"/>
      <color theme="1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1"/>
      <color rgb="FFFF0000"/>
      <name val="等线"/>
      <family val="3"/>
      <charset val="134"/>
    </font>
    <font>
      <b/>
      <sz val="11"/>
      <color theme="1"/>
      <name val="等线"/>
      <family val="3"/>
      <charset val="134"/>
    </font>
    <font>
      <b/>
      <sz val="10"/>
      <name val="微软雅黑"/>
      <family val="2"/>
      <charset val="134"/>
    </font>
    <font>
      <sz val="11"/>
      <color theme="1"/>
      <name val="等线"/>
      <family val="3"/>
      <charset val="134"/>
    </font>
    <font>
      <sz val="10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</font>
    <font>
      <sz val="11"/>
      <color rgb="FFFF0000"/>
      <name val="微软雅黑"/>
      <family val="2"/>
      <charset val="134"/>
    </font>
    <font>
      <sz val="9"/>
      <name val="宋体"/>
      <family val="3"/>
      <charset val="134"/>
    </font>
    <font>
      <sz val="11"/>
      <color theme="1"/>
      <name val="等线"/>
      <family val="2"/>
      <scheme val="minor"/>
    </font>
    <font>
      <b/>
      <sz val="10"/>
      <color rgb="FFFFFFFF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1"/>
      <color theme="1"/>
      <name val="等线"/>
      <family val="2"/>
      <scheme val="minor"/>
    </font>
    <font>
      <sz val="10"/>
      <color rgb="FF3B82F6"/>
      <name val="微软雅黑"/>
      <family val="2"/>
      <charset val="134"/>
    </font>
    <font>
      <sz val="10"/>
      <color theme="0" tint="-0.49998474074526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0" tint="-0.499984740745262"/>
      <name val="微软雅黑"/>
      <family val="2"/>
      <charset val="134"/>
    </font>
    <font>
      <b/>
      <sz val="10"/>
      <color rgb="FF004C97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004C97"/>
      <name val="微软雅黑"/>
      <family val="2"/>
      <charset val="134"/>
    </font>
    <font>
      <sz val="10"/>
      <color theme="7" tint="-0.499984740745262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68"/>
        <bgColor indexed="64"/>
      </patternFill>
    </fill>
    <fill>
      <patternFill patternType="solid">
        <fgColor rgb="FFE8EB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E3A8A"/>
        <bgColor rgb="FF1E3A8A"/>
      </patternFill>
    </fill>
    <fill>
      <patternFill patternType="solid">
        <fgColor rgb="FF93C5FD"/>
        <bgColor rgb="FF93C5FD"/>
      </patternFill>
    </fill>
    <fill>
      <patternFill patternType="solid">
        <fgColor rgb="FFFFFFFF"/>
        <bgColor rgb="FFFFFFFF"/>
      </patternFill>
    </fill>
    <fill>
      <patternFill patternType="solid">
        <fgColor rgb="FF3B82F6"/>
        <bgColor rgb="FF3B82F6"/>
      </patternFill>
    </fill>
    <fill>
      <patternFill patternType="solid">
        <fgColor rgb="FFFFF9C4"/>
        <bgColor rgb="FFFFF9C4"/>
      </patternFill>
    </fill>
    <fill>
      <patternFill patternType="solid">
        <fgColor theme="2"/>
        <bgColor rgb="FFFFF9C4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hair">
        <color theme="0" tint="-0.24994659260841701"/>
      </bottom>
      <diagonal/>
    </border>
    <border>
      <left/>
      <right/>
      <top style="medium">
        <color auto="1"/>
      </top>
      <bottom style="hair">
        <color theme="0" tint="-0.24994659260841701"/>
      </bottom>
      <diagonal/>
    </border>
    <border>
      <left style="medium">
        <color auto="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medium">
        <color auto="1"/>
      </right>
      <top style="medium">
        <color auto="1"/>
      </top>
      <bottom style="hair">
        <color theme="0" tint="-0.24994659260841701"/>
      </bottom>
      <diagonal/>
    </border>
    <border>
      <left/>
      <right style="medium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/>
      <right/>
      <top/>
      <bottom style="hair">
        <color theme="0" tint="-0.2499465926084170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hair">
        <color theme="0" tint="-0.2499465926084170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hair">
        <color theme="0" tint="-0.2499465926084170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theme="0" tint="-0.24994659260841701"/>
      </bottom>
      <diagonal/>
    </border>
    <border>
      <left/>
      <right/>
      <top style="thin">
        <color auto="1"/>
      </top>
      <bottom style="hair">
        <color theme="0" tint="-0.2499465926084170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medium">
        <color auto="1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hair">
        <color theme="0" tint="-0.24994659260841701"/>
      </top>
      <bottom style="thin">
        <color auto="1"/>
      </bottom>
      <diagonal/>
    </border>
    <border>
      <left/>
      <right style="medium">
        <color indexed="64"/>
      </right>
      <top style="hair">
        <color theme="0" tint="-0.2499465926084170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6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6" fillId="0" borderId="0"/>
    <xf numFmtId="9" fontId="16" fillId="0" borderId="0">
      <alignment vertical="center"/>
    </xf>
  </cellStyleXfs>
  <cellXfs count="265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2" borderId="1" xfId="1">
      <alignment vertical="center"/>
    </xf>
    <xf numFmtId="0" fontId="3" fillId="0" borderId="0" xfId="0" applyFont="1" applyAlignment="1">
      <alignment horizontal="right" vertical="center"/>
    </xf>
    <xf numFmtId="0" fontId="3" fillId="3" borderId="0" xfId="0" applyFont="1" applyFill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5" xfId="0" applyFont="1" applyBorder="1" applyAlignment="1"/>
    <xf numFmtId="0" fontId="0" fillId="0" borderId="6" xfId="0" applyBorder="1" applyAlignment="1"/>
    <xf numFmtId="0" fontId="0" fillId="0" borderId="7" xfId="0" applyBorder="1" applyAlignment="1"/>
    <xf numFmtId="0" fontId="8" fillId="0" borderId="8" xfId="0" applyFont="1" applyBorder="1" applyAlignment="1"/>
    <xf numFmtId="0" fontId="6" fillId="4" borderId="10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/>
    </xf>
    <xf numFmtId="43" fontId="6" fillId="0" borderId="11" xfId="2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9" fontId="10" fillId="0" borderId="0" xfId="0" applyNumberFormat="1" applyFont="1" applyAlignment="1"/>
    <xf numFmtId="43" fontId="10" fillId="0" borderId="0" xfId="0" applyNumberFormat="1" applyFont="1" applyAlignment="1"/>
    <xf numFmtId="0" fontId="7" fillId="0" borderId="12" xfId="0" applyFont="1" applyBorder="1" applyAlignment="1"/>
    <xf numFmtId="176" fontId="0" fillId="5" borderId="13" xfId="0" applyNumberFormat="1" applyFill="1" applyBorder="1" applyAlignment="1"/>
    <xf numFmtId="177" fontId="0" fillId="5" borderId="0" xfId="0" applyNumberFormat="1" applyFill="1" applyAlignment="1"/>
    <xf numFmtId="178" fontId="10" fillId="0" borderId="14" xfId="0" applyNumberFormat="1" applyFont="1" applyBorder="1" applyAlignment="1"/>
    <xf numFmtId="0" fontId="6" fillId="4" borderId="10" xfId="0" applyFont="1" applyFill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0" fillId="0" borderId="0" xfId="0" applyAlignment="1"/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43" fontId="6" fillId="0" borderId="19" xfId="2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20" xfId="0" applyFont="1" applyBorder="1" applyAlignment="1"/>
    <xf numFmtId="0" fontId="0" fillId="0" borderId="21" xfId="0" applyBorder="1" applyAlignment="1"/>
    <xf numFmtId="0" fontId="0" fillId="0" borderId="22" xfId="0" applyBorder="1" applyAlignment="1"/>
    <xf numFmtId="0" fontId="8" fillId="0" borderId="23" xfId="0" applyFont="1" applyBorder="1" applyAlignment="1"/>
    <xf numFmtId="0" fontId="6" fillId="0" borderId="1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7" fontId="11" fillId="0" borderId="10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0" borderId="8" xfId="0" applyFont="1" applyBorder="1" applyAlignment="1"/>
    <xf numFmtId="179" fontId="0" fillId="5" borderId="0" xfId="2" applyNumberFormat="1" applyFont="1" applyFill="1" applyAlignment="1"/>
    <xf numFmtId="179" fontId="10" fillId="5" borderId="14" xfId="2" applyNumberFormat="1" applyFont="1" applyFill="1" applyBorder="1" applyAlignment="1"/>
    <xf numFmtId="0" fontId="0" fillId="6" borderId="0" xfId="0" applyFill="1" applyAlignment="1"/>
    <xf numFmtId="0" fontId="13" fillId="0" borderId="0" xfId="0" applyFont="1" applyAlignment="1"/>
    <xf numFmtId="0" fontId="0" fillId="0" borderId="23" xfId="0" applyBorder="1" applyAlignment="1"/>
    <xf numFmtId="177" fontId="5" fillId="0" borderId="10" xfId="0" applyNumberFormat="1" applyFont="1" applyBorder="1" applyAlignment="1">
      <alignment horizontal="center" vertical="center"/>
    </xf>
    <xf numFmtId="43" fontId="1" fillId="2" borderId="1" xfId="1" applyNumberFormat="1">
      <alignment vertical="center"/>
    </xf>
    <xf numFmtId="0" fontId="10" fillId="4" borderId="0" xfId="0" applyFont="1" applyFill="1" applyAlignment="1"/>
    <xf numFmtId="0" fontId="0" fillId="0" borderId="10" xfId="0" applyBorder="1" applyAlignment="1">
      <alignment horizontal="center" vertical="center"/>
    </xf>
    <xf numFmtId="177" fontId="11" fillId="3" borderId="10" xfId="0" applyNumberFormat="1" applyFont="1" applyFill="1" applyBorder="1" applyAlignment="1">
      <alignment horizontal="center" vertical="center"/>
    </xf>
    <xf numFmtId="0" fontId="16" fillId="0" borderId="61" xfId="4" applyBorder="1"/>
    <xf numFmtId="0" fontId="16" fillId="0" borderId="62" xfId="4" applyBorder="1"/>
    <xf numFmtId="0" fontId="16" fillId="0" borderId="0" xfId="4"/>
    <xf numFmtId="0" fontId="18" fillId="11" borderId="60" xfId="4" applyFont="1" applyFill="1" applyBorder="1" applyAlignment="1">
      <alignment horizontal="center" vertical="center" wrapText="1"/>
    </xf>
    <xf numFmtId="0" fontId="11" fillId="12" borderId="60" xfId="4" applyFont="1" applyFill="1" applyBorder="1" applyAlignment="1">
      <alignment horizontal="left" vertical="center" wrapText="1"/>
    </xf>
    <xf numFmtId="4" fontId="11" fillId="12" borderId="60" xfId="4" applyNumberFormat="1" applyFont="1" applyFill="1" applyBorder="1" applyAlignment="1">
      <alignment horizontal="center" vertical="center" wrapText="1"/>
    </xf>
    <xf numFmtId="4" fontId="18" fillId="11" borderId="60" xfId="4" applyNumberFormat="1" applyFont="1" applyFill="1" applyBorder="1" applyAlignment="1">
      <alignment horizontal="center" vertical="center" wrapText="1"/>
    </xf>
    <xf numFmtId="0" fontId="16" fillId="0" borderId="0" xfId="4" applyAlignment="1">
      <alignment horizontal="center"/>
    </xf>
    <xf numFmtId="0" fontId="17" fillId="13" borderId="60" xfId="4" applyFont="1" applyFill="1" applyBorder="1" applyAlignment="1">
      <alignment horizontal="center" vertical="center" wrapText="1"/>
    </xf>
    <xf numFmtId="4" fontId="17" fillId="10" borderId="60" xfId="4" applyNumberFormat="1" applyFont="1" applyFill="1" applyBorder="1" applyAlignment="1">
      <alignment horizontal="center" vertical="center" wrapText="1"/>
    </xf>
    <xf numFmtId="0" fontId="16" fillId="0" borderId="61" xfId="4" applyBorder="1" applyAlignment="1">
      <alignment horizontal="center"/>
    </xf>
    <xf numFmtId="0" fontId="18" fillId="12" borderId="60" xfId="4" applyFont="1" applyFill="1" applyBorder="1" applyAlignment="1">
      <alignment horizontal="left" vertical="center" wrapText="1"/>
    </xf>
    <xf numFmtId="4" fontId="18" fillId="12" borderId="60" xfId="4" applyNumberFormat="1" applyFont="1" applyFill="1" applyBorder="1" applyAlignment="1">
      <alignment horizontal="center" vertical="center" wrapText="1"/>
    </xf>
    <xf numFmtId="0" fontId="19" fillId="0" borderId="0" xfId="4" applyFont="1"/>
    <xf numFmtId="10" fontId="20" fillId="14" borderId="60" xfId="4" applyNumberFormat="1" applyFont="1" applyFill="1" applyBorder="1" applyAlignment="1">
      <alignment horizontal="center" vertical="center" wrapText="1"/>
    </xf>
    <xf numFmtId="0" fontId="17" fillId="10" borderId="60" xfId="4" applyFont="1" applyFill="1" applyBorder="1" applyAlignment="1">
      <alignment horizontal="center" vertical="center"/>
    </xf>
    <xf numFmtId="4" fontId="21" fillId="12" borderId="60" xfId="4" applyNumberFormat="1" applyFont="1" applyFill="1" applyBorder="1" applyAlignment="1">
      <alignment horizontal="center" vertical="center" wrapText="1"/>
    </xf>
    <xf numFmtId="183" fontId="11" fillId="12" borderId="60" xfId="5" applyNumberFormat="1" applyFont="1" applyFill="1" applyBorder="1" applyAlignment="1">
      <alignment horizontal="center" vertical="center" wrapText="1"/>
    </xf>
    <xf numFmtId="0" fontId="9" fillId="8" borderId="38" xfId="0" applyFont="1" applyFill="1" applyBorder="1" applyAlignment="1">
      <alignment vertical="center" wrapText="1"/>
    </xf>
    <xf numFmtId="0" fontId="9" fillId="8" borderId="39" xfId="0" applyFont="1" applyFill="1" applyBorder="1" applyAlignment="1">
      <alignment vertical="center" wrapText="1"/>
    </xf>
    <xf numFmtId="0" fontId="23" fillId="9" borderId="32" xfId="2" applyNumberFormat="1" applyFont="1" applyFill="1" applyBorder="1" applyAlignment="1" applyProtection="1">
      <alignment vertical="center"/>
    </xf>
    <xf numFmtId="0" fontId="25" fillId="9" borderId="34" xfId="0" applyFont="1" applyFill="1" applyBorder="1">
      <alignment vertical="center"/>
    </xf>
    <xf numFmtId="0" fontId="25" fillId="9" borderId="0" xfId="0" applyFont="1" applyFill="1">
      <alignment vertical="center"/>
    </xf>
    <xf numFmtId="0" fontId="25" fillId="9" borderId="44" xfId="0" applyFont="1" applyFill="1" applyBorder="1">
      <alignment vertical="center"/>
    </xf>
    <xf numFmtId="180" fontId="9" fillId="9" borderId="0" xfId="0" applyNumberFormat="1" applyFont="1" applyFill="1" applyAlignment="1">
      <alignment horizontal="left" vertical="center"/>
    </xf>
    <xf numFmtId="0" fontId="5" fillId="9" borderId="0" xfId="0" applyFont="1" applyFill="1">
      <alignment vertical="center"/>
    </xf>
    <xf numFmtId="0" fontId="5" fillId="9" borderId="33" xfId="0" applyFont="1" applyFill="1" applyBorder="1">
      <alignment vertical="center"/>
    </xf>
    <xf numFmtId="0" fontId="25" fillId="9" borderId="43" xfId="0" applyFont="1" applyFill="1" applyBorder="1">
      <alignment vertical="center"/>
    </xf>
    <xf numFmtId="0" fontId="5" fillId="3" borderId="0" xfId="0" applyFont="1" applyFill="1">
      <alignment vertical="center"/>
    </xf>
    <xf numFmtId="0" fontId="9" fillId="8" borderId="27" xfId="0" applyFont="1" applyFill="1" applyBorder="1" applyAlignment="1">
      <alignment vertical="center" wrapText="1"/>
    </xf>
    <xf numFmtId="180" fontId="9" fillId="9" borderId="34" xfId="0" applyNumberFormat="1" applyFont="1" applyFill="1" applyBorder="1">
      <alignment vertical="center"/>
    </xf>
    <xf numFmtId="0" fontId="25" fillId="3" borderId="0" xfId="0" applyFont="1" applyFill="1">
      <alignment vertical="center"/>
    </xf>
    <xf numFmtId="182" fontId="24" fillId="0" borderId="0" xfId="2" applyNumberFormat="1" applyFont="1" applyFill="1" applyBorder="1" applyAlignment="1">
      <alignment vertical="center"/>
    </xf>
    <xf numFmtId="179" fontId="24" fillId="0" borderId="0" xfId="2" applyNumberFormat="1" applyFont="1" applyFill="1" applyBorder="1" applyAlignment="1">
      <alignment vertical="center"/>
    </xf>
    <xf numFmtId="180" fontId="6" fillId="9" borderId="26" xfId="0" applyNumberFormat="1" applyFont="1" applyFill="1" applyBorder="1" applyAlignment="1">
      <alignment horizontal="left" vertical="center"/>
    </xf>
    <xf numFmtId="180" fontId="6" fillId="9" borderId="26" xfId="0" applyNumberFormat="1" applyFont="1" applyFill="1" applyBorder="1">
      <alignment vertical="center"/>
    </xf>
    <xf numFmtId="180" fontId="6" fillId="9" borderId="31" xfId="0" applyNumberFormat="1" applyFont="1" applyFill="1" applyBorder="1">
      <alignment vertical="center"/>
    </xf>
    <xf numFmtId="180" fontId="6" fillId="3" borderId="26" xfId="0" applyNumberFormat="1" applyFont="1" applyFill="1" applyBorder="1">
      <alignment vertical="center"/>
    </xf>
    <xf numFmtId="180" fontId="6" fillId="3" borderId="34" xfId="0" applyNumberFormat="1" applyFont="1" applyFill="1" applyBorder="1">
      <alignment vertical="center"/>
    </xf>
    <xf numFmtId="0" fontId="6" fillId="8" borderId="26" xfId="0" applyFont="1" applyFill="1" applyBorder="1" applyAlignment="1">
      <alignment vertical="center" wrapText="1"/>
    </xf>
    <xf numFmtId="0" fontId="6" fillId="9" borderId="26" xfId="2" applyNumberFormat="1" applyFont="1" applyFill="1" applyBorder="1" applyAlignment="1" applyProtection="1">
      <alignment vertical="center"/>
    </xf>
    <xf numFmtId="0" fontId="6" fillId="9" borderId="31" xfId="2" applyNumberFormat="1" applyFont="1" applyFill="1" applyBorder="1" applyAlignment="1" applyProtection="1">
      <alignment vertical="center"/>
    </xf>
    <xf numFmtId="180" fontId="6" fillId="9" borderId="34" xfId="0" applyNumberFormat="1" applyFont="1" applyFill="1" applyBorder="1">
      <alignment vertical="center"/>
    </xf>
    <xf numFmtId="180" fontId="6" fillId="9" borderId="56" xfId="0" applyNumberFormat="1" applyFont="1" applyFill="1" applyBorder="1">
      <alignment vertical="center"/>
    </xf>
    <xf numFmtId="180" fontId="6" fillId="9" borderId="0" xfId="0" applyNumberFormat="1" applyFont="1" applyFill="1">
      <alignment vertical="center"/>
    </xf>
    <xf numFmtId="0" fontId="6" fillId="3" borderId="0" xfId="2" applyNumberFormat="1" applyFont="1" applyFill="1" applyBorder="1" applyAlignment="1" applyProtection="1">
      <alignment vertical="center"/>
    </xf>
    <xf numFmtId="0" fontId="6" fillId="9" borderId="0" xfId="2" applyNumberFormat="1" applyFont="1" applyFill="1" applyBorder="1" applyAlignment="1" applyProtection="1">
      <alignment vertical="center"/>
    </xf>
    <xf numFmtId="180" fontId="6" fillId="3" borderId="0" xfId="0" applyNumberFormat="1" applyFont="1" applyFill="1">
      <alignment vertical="center"/>
    </xf>
    <xf numFmtId="0" fontId="9" fillId="8" borderId="37" xfId="0" applyFont="1" applyFill="1" applyBorder="1">
      <alignment vertical="center"/>
    </xf>
    <xf numFmtId="43" fontId="24" fillId="0" borderId="0" xfId="2" applyFont="1" applyFill="1" applyBorder="1" applyAlignment="1" applyProtection="1">
      <alignment horizontal="left" vertical="center"/>
    </xf>
    <xf numFmtId="9" fontId="5" fillId="3" borderId="0" xfId="0" applyNumberFormat="1" applyFont="1" applyFill="1">
      <alignment vertical="center"/>
    </xf>
    <xf numFmtId="0" fontId="5" fillId="0" borderId="0" xfId="0" applyFont="1">
      <alignment vertical="center"/>
    </xf>
    <xf numFmtId="0" fontId="25" fillId="0" borderId="0" xfId="0" applyFont="1">
      <alignment vertical="center"/>
    </xf>
    <xf numFmtId="0" fontId="5" fillId="0" borderId="57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6" xfId="0" applyFont="1" applyBorder="1">
      <alignment vertical="center"/>
    </xf>
    <xf numFmtId="0" fontId="5" fillId="0" borderId="58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5" fillId="3" borderId="57" xfId="0" applyFont="1" applyFill="1" applyBorder="1" applyAlignment="1">
      <alignment horizontal="right" vertical="center"/>
    </xf>
    <xf numFmtId="0" fontId="5" fillId="0" borderId="57" xfId="0" applyFont="1" applyBorder="1" applyAlignment="1">
      <alignment horizontal="right" vertical="center"/>
    </xf>
    <xf numFmtId="0" fontId="5" fillId="0" borderId="58" xfId="0" applyFont="1" applyBorder="1" applyAlignment="1">
      <alignment horizontal="right" vertical="center"/>
    </xf>
    <xf numFmtId="0" fontId="5" fillId="0" borderId="30" xfId="0" applyFont="1" applyBorder="1" applyAlignment="1">
      <alignment horizontal="right" vertical="center"/>
    </xf>
    <xf numFmtId="9" fontId="5" fillId="9" borderId="0" xfId="0" applyNumberFormat="1" applyFont="1" applyFill="1">
      <alignment vertical="center"/>
    </xf>
    <xf numFmtId="182" fontId="6" fillId="0" borderId="0" xfId="2" applyNumberFormat="1" applyFont="1" applyFill="1" applyBorder="1" applyAlignment="1">
      <alignment vertical="center"/>
    </xf>
    <xf numFmtId="179" fontId="6" fillId="0" borderId="0" xfId="2" applyNumberFormat="1" applyFont="1" applyFill="1" applyBorder="1" applyAlignment="1">
      <alignment vertical="center"/>
    </xf>
    <xf numFmtId="43" fontId="6" fillId="3" borderId="0" xfId="2" applyFont="1" applyFill="1" applyBorder="1" applyAlignment="1">
      <alignment vertical="center"/>
    </xf>
    <xf numFmtId="182" fontId="26" fillId="5" borderId="57" xfId="2" applyNumberFormat="1" applyFont="1" applyFill="1" applyBorder="1" applyAlignment="1">
      <alignment horizontal="right" vertical="center"/>
    </xf>
    <xf numFmtId="179" fontId="26" fillId="5" borderId="57" xfId="2" applyNumberFormat="1" applyFont="1" applyFill="1" applyBorder="1" applyAlignment="1">
      <alignment horizontal="right" vertical="center"/>
    </xf>
    <xf numFmtId="9" fontId="26" fillId="3" borderId="57" xfId="2" applyNumberFormat="1" applyFont="1" applyFill="1" applyBorder="1" applyAlignment="1">
      <alignment horizontal="right" vertical="center"/>
    </xf>
    <xf numFmtId="183" fontId="26" fillId="5" borderId="57" xfId="3" applyNumberFormat="1" applyFont="1" applyFill="1" applyBorder="1" applyAlignment="1" applyProtection="1">
      <alignment horizontal="right" vertical="center"/>
    </xf>
    <xf numFmtId="9" fontId="27" fillId="3" borderId="57" xfId="3" applyFont="1" applyFill="1" applyBorder="1" applyAlignment="1">
      <alignment horizontal="right" vertical="center"/>
    </xf>
    <xf numFmtId="1" fontId="5" fillId="9" borderId="57" xfId="0" applyNumberFormat="1" applyFont="1" applyFill="1" applyBorder="1" applyAlignment="1">
      <alignment horizontal="right" vertical="center"/>
    </xf>
    <xf numFmtId="9" fontId="5" fillId="3" borderId="57" xfId="0" applyNumberFormat="1" applyFont="1" applyFill="1" applyBorder="1" applyAlignment="1">
      <alignment horizontal="right" vertical="center"/>
    </xf>
    <xf numFmtId="43" fontId="5" fillId="9" borderId="57" xfId="0" applyNumberFormat="1" applyFont="1" applyFill="1" applyBorder="1" applyAlignment="1">
      <alignment horizontal="right" vertical="center"/>
    </xf>
    <xf numFmtId="14" fontId="11" fillId="12" borderId="60" xfId="4" applyNumberFormat="1" applyFont="1" applyFill="1" applyBorder="1" applyAlignment="1">
      <alignment horizontal="center" vertical="center" wrapText="1"/>
    </xf>
    <xf numFmtId="43" fontId="9" fillId="0" borderId="46" xfId="2" applyFont="1" applyFill="1" applyBorder="1" applyAlignment="1">
      <alignment vertical="center"/>
    </xf>
    <xf numFmtId="43" fontId="9" fillId="0" borderId="47" xfId="2" applyFont="1" applyFill="1" applyBorder="1" applyAlignment="1" applyProtection="1">
      <alignment horizontal="left" vertical="center"/>
    </xf>
    <xf numFmtId="182" fontId="11" fillId="12" borderId="60" xfId="2" applyNumberFormat="1" applyFont="1" applyFill="1" applyBorder="1" applyAlignment="1">
      <alignment horizontal="left" vertical="center" wrapText="1"/>
    </xf>
    <xf numFmtId="182" fontId="11" fillId="12" borderId="60" xfId="2" applyNumberFormat="1" applyFont="1" applyFill="1" applyBorder="1" applyAlignment="1">
      <alignment horizontal="center" vertical="center" wrapText="1"/>
    </xf>
    <xf numFmtId="0" fontId="5" fillId="0" borderId="0" xfId="4" applyFont="1"/>
    <xf numFmtId="0" fontId="5" fillId="0" borderId="0" xfId="4" applyFont="1" applyAlignment="1">
      <alignment horizontal="center"/>
    </xf>
    <xf numFmtId="182" fontId="5" fillId="0" borderId="0" xfId="2" applyNumberFormat="1" applyFont="1" applyAlignment="1"/>
    <xf numFmtId="9" fontId="5" fillId="0" borderId="0" xfId="3" applyFont="1" applyAlignment="1"/>
    <xf numFmtId="0" fontId="5" fillId="9" borderId="40" xfId="0" applyFont="1" applyFill="1" applyBorder="1">
      <alignment vertical="center"/>
    </xf>
    <xf numFmtId="183" fontId="26" fillId="5" borderId="49" xfId="3" applyNumberFormat="1" applyFont="1" applyFill="1" applyBorder="1" applyAlignment="1" applyProtection="1">
      <alignment horizontal="left" vertical="center"/>
    </xf>
    <xf numFmtId="0" fontId="5" fillId="9" borderId="34" xfId="0" applyFont="1" applyFill="1" applyBorder="1">
      <alignment vertical="center"/>
    </xf>
    <xf numFmtId="183" fontId="26" fillId="5" borderId="33" xfId="3" applyNumberFormat="1" applyFont="1" applyFill="1" applyBorder="1" applyAlignment="1" applyProtection="1">
      <alignment horizontal="left" vertical="center"/>
    </xf>
    <xf numFmtId="183" fontId="26" fillId="5" borderId="27" xfId="3" applyNumberFormat="1" applyFont="1" applyFill="1" applyBorder="1" applyAlignment="1" applyProtection="1">
      <alignment horizontal="left" vertical="center"/>
    </xf>
    <xf numFmtId="183" fontId="26" fillId="5" borderId="32" xfId="3" applyNumberFormat="1" applyFont="1" applyFill="1" applyBorder="1" applyAlignment="1" applyProtection="1">
      <alignment horizontal="left" vertical="center"/>
    </xf>
    <xf numFmtId="0" fontId="5" fillId="9" borderId="41" xfId="0" applyFont="1" applyFill="1" applyBorder="1">
      <alignment vertical="center"/>
    </xf>
    <xf numFmtId="0" fontId="5" fillId="9" borderId="36" xfId="0" applyFont="1" applyFill="1" applyBorder="1">
      <alignment vertical="center"/>
    </xf>
    <xf numFmtId="181" fontId="27" fillId="9" borderId="58" xfId="0" applyNumberFormat="1" applyFont="1" applyFill="1" applyBorder="1" applyAlignment="1">
      <alignment horizontal="right" vertical="center"/>
    </xf>
    <xf numFmtId="43" fontId="26" fillId="3" borderId="57" xfId="2" applyFont="1" applyFill="1" applyBorder="1" applyAlignment="1">
      <alignment horizontal="right" vertical="center"/>
    </xf>
    <xf numFmtId="180" fontId="27" fillId="9" borderId="57" xfId="0" applyNumberFormat="1" applyFont="1" applyFill="1" applyBorder="1" applyAlignment="1">
      <alignment horizontal="right" vertical="center"/>
    </xf>
    <xf numFmtId="43" fontId="26" fillId="5" borderId="57" xfId="2" applyFont="1" applyFill="1" applyBorder="1" applyAlignment="1">
      <alignment horizontal="right" vertical="center"/>
    </xf>
    <xf numFmtId="180" fontId="26" fillId="5" borderId="29" xfId="0" applyNumberFormat="1" applyFont="1" applyFill="1" applyBorder="1" applyAlignment="1">
      <alignment horizontal="right" vertical="center"/>
    </xf>
    <xf numFmtId="14" fontId="26" fillId="3" borderId="29" xfId="2" applyNumberFormat="1" applyFont="1" applyFill="1" applyBorder="1" applyAlignment="1">
      <alignment horizontal="right" vertical="center"/>
    </xf>
    <xf numFmtId="182" fontId="26" fillId="3" borderId="29" xfId="2" applyNumberFormat="1" applyFont="1" applyFill="1" applyBorder="1" applyAlignment="1">
      <alignment horizontal="right" vertical="center"/>
    </xf>
    <xf numFmtId="182" fontId="26" fillId="5" borderId="29" xfId="2" applyNumberFormat="1" applyFont="1" applyFill="1" applyBorder="1" applyAlignment="1">
      <alignment horizontal="right" vertical="center"/>
    </xf>
    <xf numFmtId="182" fontId="26" fillId="5" borderId="29" xfId="2" applyNumberFormat="1" applyFont="1" applyFill="1" applyBorder="1" applyAlignment="1" applyProtection="1">
      <alignment horizontal="right" vertical="center"/>
    </xf>
    <xf numFmtId="182" fontId="26" fillId="5" borderId="35" xfId="2" applyNumberFormat="1" applyFont="1" applyFill="1" applyBorder="1" applyAlignment="1">
      <alignment horizontal="right" vertical="center"/>
    </xf>
    <xf numFmtId="0" fontId="6" fillId="8" borderId="29" xfId="0" applyFont="1" applyFill="1" applyBorder="1" applyAlignment="1">
      <alignment horizontal="right" vertical="center" wrapText="1"/>
    </xf>
    <xf numFmtId="181" fontId="26" fillId="5" borderId="29" xfId="0" applyNumberFormat="1" applyFont="1" applyFill="1" applyBorder="1" applyAlignment="1">
      <alignment horizontal="right" vertical="center"/>
    </xf>
    <xf numFmtId="9" fontId="26" fillId="5" borderId="35" xfId="3" applyFont="1" applyFill="1" applyBorder="1" applyAlignment="1">
      <alignment horizontal="right" vertical="center"/>
    </xf>
    <xf numFmtId="43" fontId="26" fillId="5" borderId="29" xfId="2" applyFont="1" applyFill="1" applyBorder="1" applyAlignment="1">
      <alignment horizontal="right" vertical="center"/>
    </xf>
    <xf numFmtId="9" fontId="26" fillId="3" borderId="29" xfId="2" applyNumberFormat="1" applyFont="1" applyFill="1" applyBorder="1" applyAlignment="1">
      <alignment horizontal="right" vertical="center"/>
    </xf>
    <xf numFmtId="0" fontId="17" fillId="10" borderId="60" xfId="4" applyFont="1" applyFill="1" applyBorder="1" applyAlignment="1">
      <alignment horizontal="left" vertical="center" wrapText="1"/>
    </xf>
    <xf numFmtId="0" fontId="18" fillId="11" borderId="60" xfId="4" applyFont="1" applyFill="1" applyBorder="1" applyAlignment="1">
      <alignment horizontal="left" vertical="center" wrapText="1"/>
    </xf>
    <xf numFmtId="0" fontId="5" fillId="0" borderId="0" xfId="4" applyFont="1" applyAlignment="1">
      <alignment horizontal="left"/>
    </xf>
    <xf numFmtId="0" fontId="17" fillId="13" borderId="60" xfId="4" applyFont="1" applyFill="1" applyBorder="1" applyAlignment="1">
      <alignment horizontal="left" vertical="center" wrapText="1"/>
    </xf>
    <xf numFmtId="0" fontId="17" fillId="11" borderId="60" xfId="4" applyFont="1" applyFill="1" applyBorder="1" applyAlignment="1">
      <alignment horizontal="left" vertical="center" wrapText="1"/>
    </xf>
    <xf numFmtId="0" fontId="16" fillId="0" borderId="0" xfId="4" applyAlignment="1">
      <alignment horizontal="left"/>
    </xf>
    <xf numFmtId="0" fontId="6" fillId="8" borderId="38" xfId="0" applyFont="1" applyFill="1" applyBorder="1" applyAlignment="1">
      <alignment vertical="center" wrapText="1"/>
    </xf>
    <xf numFmtId="0" fontId="5" fillId="9" borderId="44" xfId="0" applyFont="1" applyFill="1" applyBorder="1">
      <alignment vertical="center"/>
    </xf>
    <xf numFmtId="43" fontId="6" fillId="0" borderId="47" xfId="2" applyFont="1" applyFill="1" applyBorder="1" applyAlignment="1" applyProtection="1">
      <alignment horizontal="left" vertical="center"/>
    </xf>
    <xf numFmtId="43" fontId="5" fillId="0" borderId="0" xfId="2" applyFont="1" applyFill="1" applyBorder="1" applyAlignment="1">
      <alignment vertical="center"/>
    </xf>
    <xf numFmtId="182" fontId="26" fillId="5" borderId="57" xfId="2" applyNumberFormat="1" applyFont="1" applyFill="1" applyBorder="1" applyAlignment="1">
      <alignment horizontal="center" vertical="center"/>
    </xf>
    <xf numFmtId="179" fontId="26" fillId="5" borderId="57" xfId="2" applyNumberFormat="1" applyFont="1" applyFill="1" applyBorder="1" applyAlignment="1">
      <alignment horizontal="center" vertical="center"/>
    </xf>
    <xf numFmtId="43" fontId="26" fillId="3" borderId="57" xfId="2" applyFont="1" applyFill="1" applyBorder="1" applyAlignment="1">
      <alignment horizontal="center" vertical="center"/>
    </xf>
    <xf numFmtId="179" fontId="26" fillId="0" borderId="57" xfId="2" applyNumberFormat="1" applyFont="1" applyFill="1" applyBorder="1" applyAlignment="1">
      <alignment horizontal="center" vertical="center"/>
    </xf>
    <xf numFmtId="180" fontId="27" fillId="9" borderId="0" xfId="0" applyNumberFormat="1" applyFont="1" applyFill="1" applyAlignment="1">
      <alignment horizontal="right" vertical="center"/>
    </xf>
    <xf numFmtId="180" fontId="26" fillId="5" borderId="57" xfId="2" applyNumberFormat="1" applyFont="1" applyFill="1" applyBorder="1" applyAlignment="1">
      <alignment horizontal="right" vertical="center"/>
    </xf>
    <xf numFmtId="179" fontId="26" fillId="5" borderId="33" xfId="2" applyNumberFormat="1" applyFont="1" applyFill="1" applyBorder="1" applyAlignment="1" applyProtection="1">
      <alignment horizontal="center" vertical="center"/>
    </xf>
    <xf numFmtId="179" fontId="26" fillId="9" borderId="33" xfId="2" applyNumberFormat="1" applyFont="1" applyFill="1" applyBorder="1" applyAlignment="1" applyProtection="1">
      <alignment horizontal="center" vertical="center"/>
    </xf>
    <xf numFmtId="179" fontId="26" fillId="9" borderId="48" xfId="2" applyNumberFormat="1" applyFont="1" applyFill="1" applyBorder="1" applyAlignment="1" applyProtection="1">
      <alignment horizontal="center" vertical="center"/>
    </xf>
    <xf numFmtId="179" fontId="26" fillId="5" borderId="27" xfId="2" applyNumberFormat="1" applyFont="1" applyFill="1" applyBorder="1" applyAlignment="1" applyProtection="1">
      <alignment horizontal="center" vertical="center"/>
    </xf>
    <xf numFmtId="179" fontId="26" fillId="9" borderId="27" xfId="2" applyNumberFormat="1" applyFont="1" applyFill="1" applyBorder="1" applyAlignment="1" applyProtection="1">
      <alignment horizontal="center" vertical="center"/>
    </xf>
    <xf numFmtId="179" fontId="26" fillId="9" borderId="29" xfId="2" applyNumberFormat="1" applyFont="1" applyFill="1" applyBorder="1" applyAlignment="1" applyProtection="1">
      <alignment horizontal="center" vertical="center"/>
    </xf>
    <xf numFmtId="179" fontId="26" fillId="5" borderId="63" xfId="2" applyNumberFormat="1" applyFont="1" applyFill="1" applyBorder="1" applyAlignment="1" applyProtection="1">
      <alignment horizontal="center" vertical="center"/>
    </xf>
    <xf numFmtId="179" fontId="26" fillId="9" borderId="63" xfId="2" applyNumberFormat="1" applyFont="1" applyFill="1" applyBorder="1" applyAlignment="1" applyProtection="1">
      <alignment horizontal="center" vertical="center"/>
    </xf>
    <xf numFmtId="179" fontId="26" fillId="9" borderId="42" xfId="2" applyNumberFormat="1" applyFont="1" applyFill="1" applyBorder="1" applyAlignment="1" applyProtection="1">
      <alignment horizontal="center" vertical="center"/>
    </xf>
    <xf numFmtId="179" fontId="26" fillId="5" borderId="32" xfId="2" applyNumberFormat="1" applyFont="1" applyFill="1" applyBorder="1" applyAlignment="1" applyProtection="1">
      <alignment horizontal="center" vertical="center"/>
    </xf>
    <xf numFmtId="179" fontId="26" fillId="9" borderId="32" xfId="2" applyNumberFormat="1" applyFont="1" applyFill="1" applyBorder="1" applyAlignment="1" applyProtection="1">
      <alignment horizontal="center" vertical="center"/>
    </xf>
    <xf numFmtId="179" fontId="26" fillId="9" borderId="35" xfId="2" applyNumberFormat="1" applyFont="1" applyFill="1" applyBorder="1" applyAlignment="1" applyProtection="1">
      <alignment horizontal="center" vertical="center"/>
    </xf>
    <xf numFmtId="43" fontId="26" fillId="5" borderId="30" xfId="2" applyFont="1" applyFill="1" applyBorder="1" applyAlignment="1">
      <alignment horizontal="right" vertical="center"/>
    </xf>
    <xf numFmtId="43" fontId="26" fillId="3" borderId="30" xfId="2" applyFont="1" applyFill="1" applyBorder="1" applyAlignment="1">
      <alignment horizontal="right" vertical="center"/>
    </xf>
    <xf numFmtId="180" fontId="27" fillId="9" borderId="30" xfId="0" applyNumberFormat="1" applyFont="1" applyFill="1" applyBorder="1" applyAlignment="1">
      <alignment horizontal="right" vertical="center"/>
    </xf>
    <xf numFmtId="0" fontId="17" fillId="10" borderId="60" xfId="4" applyFont="1" applyFill="1" applyBorder="1" applyAlignment="1">
      <alignment horizontal="left" vertical="center" wrapText="1" indent="1"/>
    </xf>
    <xf numFmtId="0" fontId="18" fillId="11" borderId="60" xfId="4" applyFont="1" applyFill="1" applyBorder="1" applyAlignment="1">
      <alignment horizontal="left" vertical="center" wrapText="1" indent="1"/>
    </xf>
    <xf numFmtId="0" fontId="17" fillId="13" borderId="60" xfId="4" applyFont="1" applyFill="1" applyBorder="1" applyAlignment="1">
      <alignment horizontal="left" vertical="center" wrapText="1" indent="1"/>
    </xf>
    <xf numFmtId="0" fontId="11" fillId="12" borderId="60" xfId="4" applyFont="1" applyFill="1" applyBorder="1" applyAlignment="1">
      <alignment horizontal="left" vertical="center" wrapText="1" indent="1"/>
    </xf>
    <xf numFmtId="0" fontId="18" fillId="12" borderId="60" xfId="4" applyFont="1" applyFill="1" applyBorder="1" applyAlignment="1">
      <alignment horizontal="left" vertical="center" wrapText="1" indent="1"/>
    </xf>
    <xf numFmtId="4" fontId="11" fillId="12" borderId="60" xfId="4" applyNumberFormat="1" applyFont="1" applyFill="1" applyBorder="1" applyAlignment="1">
      <alignment horizontal="left" vertical="center" wrapText="1" indent="1"/>
    </xf>
    <xf numFmtId="0" fontId="16" fillId="0" borderId="0" xfId="4" applyAlignment="1">
      <alignment horizontal="left" indent="1"/>
    </xf>
    <xf numFmtId="0" fontId="25" fillId="9" borderId="44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5" fillId="9" borderId="45" xfId="0" applyFont="1" applyFill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5" fillId="0" borderId="52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/>
    </xf>
    <xf numFmtId="179" fontId="25" fillId="9" borderId="52" xfId="2" applyNumberFormat="1" applyFont="1" applyFill="1" applyBorder="1" applyAlignment="1">
      <alignment horizontal="center" vertical="center"/>
    </xf>
    <xf numFmtId="179" fontId="25" fillId="9" borderId="50" xfId="2" applyNumberFormat="1" applyFont="1" applyFill="1" applyBorder="1" applyAlignment="1">
      <alignment horizontal="center" vertical="center"/>
    </xf>
    <xf numFmtId="179" fontId="5" fillId="9" borderId="44" xfId="2" applyNumberFormat="1" applyFont="1" applyFill="1" applyBorder="1" applyAlignment="1">
      <alignment horizontal="center" vertical="center"/>
    </xf>
    <xf numFmtId="179" fontId="5" fillId="9" borderId="45" xfId="2" applyNumberFormat="1" applyFont="1" applyFill="1" applyBorder="1" applyAlignment="1">
      <alignment horizontal="center" vertical="center"/>
    </xf>
    <xf numFmtId="9" fontId="5" fillId="0" borderId="0" xfId="3" applyFont="1" applyAlignment="1">
      <alignment horizontal="center" vertical="center"/>
    </xf>
    <xf numFmtId="43" fontId="9" fillId="0" borderId="47" xfId="2" applyFont="1" applyFill="1" applyBorder="1" applyAlignment="1" applyProtection="1">
      <alignment horizontal="center" vertical="center"/>
    </xf>
    <xf numFmtId="43" fontId="6" fillId="0" borderId="47" xfId="2" applyFont="1" applyFill="1" applyBorder="1" applyAlignment="1" applyProtection="1">
      <alignment horizontal="center" vertical="center"/>
    </xf>
    <xf numFmtId="180" fontId="9" fillId="9" borderId="36" xfId="0" applyNumberFormat="1" applyFont="1" applyFill="1" applyBorder="1" applyAlignment="1">
      <alignment horizontal="center" vertical="center"/>
    </xf>
    <xf numFmtId="180" fontId="9" fillId="9" borderId="51" xfId="0" applyNumberFormat="1" applyFont="1" applyFill="1" applyBorder="1" applyAlignment="1">
      <alignment horizontal="center" vertical="center"/>
    </xf>
    <xf numFmtId="0" fontId="25" fillId="0" borderId="0" xfId="4" applyFont="1" applyAlignment="1">
      <alignment horizontal="left"/>
    </xf>
    <xf numFmtId="43" fontId="28" fillId="5" borderId="29" xfId="2" applyFont="1" applyFill="1" applyBorder="1" applyAlignment="1">
      <alignment horizontal="right" vertical="center"/>
    </xf>
    <xf numFmtId="4" fontId="11" fillId="0" borderId="60" xfId="4" applyNumberFormat="1" applyFont="1" applyBorder="1" applyAlignment="1">
      <alignment horizontal="center" vertical="center" wrapText="1"/>
    </xf>
    <xf numFmtId="182" fontId="11" fillId="12" borderId="60" xfId="2" applyNumberFormat="1" applyFont="1" applyFill="1" applyBorder="1" applyAlignment="1">
      <alignment vertical="center" wrapText="1"/>
    </xf>
    <xf numFmtId="9" fontId="5" fillId="0" borderId="0" xfId="0" applyNumberFormat="1" applyFont="1" applyAlignment="1"/>
    <xf numFmtId="9" fontId="5" fillId="3" borderId="0" xfId="0" applyNumberFormat="1" applyFont="1" applyFill="1" applyAlignment="1"/>
    <xf numFmtId="180" fontId="6" fillId="3" borderId="56" xfId="0" applyNumberFormat="1" applyFont="1" applyFill="1" applyBorder="1">
      <alignment vertical="center"/>
    </xf>
    <xf numFmtId="0" fontId="5" fillId="3" borderId="36" xfId="0" applyFont="1" applyFill="1" applyBorder="1">
      <alignment vertical="center"/>
    </xf>
    <xf numFmtId="9" fontId="26" fillId="3" borderId="64" xfId="3" applyFont="1" applyFill="1" applyBorder="1" applyAlignment="1">
      <alignment horizontal="right" vertical="center"/>
    </xf>
    <xf numFmtId="43" fontId="5" fillId="0" borderId="0" xfId="2" applyFont="1" applyAlignment="1"/>
    <xf numFmtId="43" fontId="5" fillId="0" borderId="0" xfId="4" applyNumberFormat="1" applyFont="1"/>
    <xf numFmtId="43" fontId="5" fillId="0" borderId="0" xfId="0" applyNumberFormat="1" applyFont="1">
      <alignment vertical="center"/>
    </xf>
    <xf numFmtId="10" fontId="20" fillId="15" borderId="60" xfId="4" applyNumberFormat="1" applyFont="1" applyFill="1" applyBorder="1" applyAlignment="1">
      <alignment horizontal="center" vertical="center" wrapText="1"/>
    </xf>
    <xf numFmtId="0" fontId="11" fillId="12" borderId="60" xfId="4" applyFont="1" applyFill="1" applyBorder="1" applyAlignment="1">
      <alignment horizontal="left" vertical="center"/>
    </xf>
    <xf numFmtId="4" fontId="11" fillId="12" borderId="60" xfId="4" applyNumberFormat="1" applyFont="1" applyFill="1" applyBorder="1" applyAlignment="1">
      <alignment horizontal="center" vertical="center"/>
    </xf>
    <xf numFmtId="10" fontId="20" fillId="14" borderId="60" xfId="4" applyNumberFormat="1" applyFont="1" applyFill="1" applyBorder="1" applyAlignment="1">
      <alignment horizontal="center" vertical="center"/>
    </xf>
    <xf numFmtId="0" fontId="17" fillId="13" borderId="60" xfId="4" applyFont="1" applyFill="1" applyBorder="1" applyAlignment="1">
      <alignment horizontal="center" vertical="center"/>
    </xf>
    <xf numFmtId="0" fontId="17" fillId="13" borderId="60" xfId="4" applyFont="1" applyFill="1" applyBorder="1" applyAlignment="1">
      <alignment horizontal="left" vertical="center"/>
    </xf>
    <xf numFmtId="49" fontId="24" fillId="5" borderId="49" xfId="3" applyNumberFormat="1" applyFont="1" applyFill="1" applyBorder="1" applyAlignment="1" applyProtection="1">
      <alignment horizontal="center" vertical="center"/>
    </xf>
    <xf numFmtId="49" fontId="26" fillId="5" borderId="49" xfId="3" applyNumberFormat="1" applyFont="1" applyFill="1" applyBorder="1" applyAlignment="1" applyProtection="1">
      <alignment horizontal="center" vertical="center"/>
    </xf>
    <xf numFmtId="49" fontId="24" fillId="5" borderId="33" xfId="3" applyNumberFormat="1" applyFont="1" applyFill="1" applyBorder="1" applyAlignment="1" applyProtection="1">
      <alignment horizontal="center" vertical="center"/>
    </xf>
    <xf numFmtId="49" fontId="26" fillId="5" borderId="33" xfId="3" applyNumberFormat="1" applyFont="1" applyFill="1" applyBorder="1" applyAlignment="1" applyProtection="1">
      <alignment horizontal="center" vertical="center"/>
    </xf>
    <xf numFmtId="49" fontId="24" fillId="5" borderId="27" xfId="3" applyNumberFormat="1" applyFont="1" applyFill="1" applyBorder="1" applyAlignment="1" applyProtection="1">
      <alignment horizontal="center" vertical="center"/>
    </xf>
    <xf numFmtId="49" fontId="26" fillId="5" borderId="27" xfId="3" applyNumberFormat="1" applyFont="1" applyFill="1" applyBorder="1" applyAlignment="1" applyProtection="1">
      <alignment horizontal="center" vertical="center"/>
    </xf>
    <xf numFmtId="49" fontId="24" fillId="5" borderId="32" xfId="3" applyNumberFormat="1" applyFont="1" applyFill="1" applyBorder="1" applyAlignment="1" applyProtection="1">
      <alignment horizontal="center" vertical="center"/>
    </xf>
    <xf numFmtId="49" fontId="26" fillId="5" borderId="32" xfId="3" applyNumberFormat="1" applyFont="1" applyFill="1" applyBorder="1" applyAlignment="1" applyProtection="1">
      <alignment horizontal="center" vertical="center"/>
    </xf>
    <xf numFmtId="49" fontId="26" fillId="5" borderId="57" xfId="2" applyNumberFormat="1" applyFont="1" applyFill="1" applyBorder="1" applyAlignment="1">
      <alignment horizontal="right" vertical="center"/>
    </xf>
    <xf numFmtId="0" fontId="0" fillId="0" borderId="65" xfId="0" applyBorder="1" applyAlignment="1"/>
    <xf numFmtId="0" fontId="6" fillId="4" borderId="66" xfId="0" applyFont="1" applyFill="1" applyBorder="1" applyAlignment="1">
      <alignment horizontal="center" vertical="center"/>
    </xf>
    <xf numFmtId="43" fontId="6" fillId="0" borderId="67" xfId="2" applyFont="1" applyFill="1" applyBorder="1" applyAlignment="1">
      <alignment horizontal="center" vertical="center"/>
    </xf>
    <xf numFmtId="0" fontId="6" fillId="16" borderId="66" xfId="0" applyFont="1" applyFill="1" applyBorder="1" applyAlignment="1">
      <alignment horizontal="center" vertical="center"/>
    </xf>
    <xf numFmtId="0" fontId="6" fillId="16" borderId="10" xfId="0" applyFont="1" applyFill="1" applyBorder="1" applyAlignment="1">
      <alignment horizontal="center" vertical="center"/>
    </xf>
    <xf numFmtId="0" fontId="9" fillId="8" borderId="54" xfId="0" applyFont="1" applyFill="1" applyBorder="1" applyAlignment="1">
      <alignment horizontal="center" vertical="center" wrapText="1"/>
    </xf>
    <xf numFmtId="0" fontId="9" fillId="8" borderId="59" xfId="0" applyFont="1" applyFill="1" applyBorder="1" applyAlignment="1">
      <alignment horizontal="center" vertical="center" wrapText="1"/>
    </xf>
    <xf numFmtId="0" fontId="9" fillId="8" borderId="55" xfId="0" applyFont="1" applyFill="1" applyBorder="1" applyAlignment="1">
      <alignment horizontal="center" vertical="center" wrapText="1"/>
    </xf>
    <xf numFmtId="0" fontId="22" fillId="7" borderId="24" xfId="0" applyFont="1" applyFill="1" applyBorder="1" applyAlignment="1">
      <alignment horizontal="center" vertical="center"/>
    </xf>
    <xf numFmtId="0" fontId="22" fillId="7" borderId="25" xfId="0" applyFont="1" applyFill="1" applyBorder="1" applyAlignment="1">
      <alignment horizontal="center" vertical="center"/>
    </xf>
    <xf numFmtId="0" fontId="22" fillId="7" borderId="28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 wrapText="1"/>
    </xf>
    <xf numFmtId="0" fontId="9" fillId="8" borderId="27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24" xfId="0" applyFont="1" applyFill="1" applyBorder="1" applyAlignment="1">
      <alignment horizontal="left" vertical="center" wrapText="1"/>
    </xf>
    <xf numFmtId="0" fontId="9" fillId="8" borderId="25" xfId="0" applyFont="1" applyFill="1" applyBorder="1" applyAlignment="1">
      <alignment horizontal="left" vertical="center" wrapText="1"/>
    </xf>
    <xf numFmtId="0" fontId="9" fillId="8" borderId="28" xfId="0" applyFont="1" applyFill="1" applyBorder="1" applyAlignment="1">
      <alignment horizontal="left" vertical="center" wrapText="1"/>
    </xf>
    <xf numFmtId="0" fontId="9" fillId="8" borderId="53" xfId="0" applyFont="1" applyFill="1" applyBorder="1" applyAlignment="1">
      <alignment horizontal="center" vertical="center"/>
    </xf>
    <xf numFmtId="0" fontId="9" fillId="8" borderId="54" xfId="0" applyFont="1" applyFill="1" applyBorder="1" applyAlignment="1">
      <alignment horizontal="center" vertical="center"/>
    </xf>
    <xf numFmtId="0" fontId="9" fillId="8" borderId="5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6" xfId="0" applyBorder="1" applyAlignment="1"/>
  </cellXfs>
  <cellStyles count="6">
    <cellStyle name="百分比" xfId="3" builtinId="5"/>
    <cellStyle name="百分比 2" xfId="5" xr:uid="{947E21E2-1873-4F86-A05E-C3B859DD959A}"/>
    <cellStyle name="常规" xfId="0" builtinId="0"/>
    <cellStyle name="常规 2" xfId="4" xr:uid="{FFBF6EDC-CD72-43F6-ABDE-9650C3982FBC}"/>
    <cellStyle name="千位分隔" xfId="2" builtinId="3"/>
    <cellStyle name="输入" xfId="1" builtinId="20"/>
  </cellStyles>
  <dxfs count="0"/>
  <tableStyles count="0" defaultTableStyle="TableStyleMedium2" defaultPivotStyle="PivotStyleLight16"/>
  <colors>
    <mruColors>
      <color rgb="FFFCF2C8"/>
      <color rgb="FFF7F2CD"/>
      <color rgb="FFFEFD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9C8E-71EB-46E4-8385-3321A4475BDD}">
  <dimension ref="A2:K60"/>
  <sheetViews>
    <sheetView topLeftCell="A4" zoomScaleNormal="100" workbookViewId="0">
      <selection activeCell="E20" sqref="E20"/>
    </sheetView>
  </sheetViews>
  <sheetFormatPr defaultRowHeight="16.5" x14ac:dyDescent="0.3"/>
  <cols>
    <col min="1" max="1" width="8.4140625" style="1" customWidth="1"/>
    <col min="2" max="2" width="15.58203125" style="1" customWidth="1"/>
    <col min="3" max="4" width="10.58203125" style="1" customWidth="1"/>
    <col min="5" max="5" width="37.83203125" style="1" customWidth="1"/>
    <col min="6" max="16" width="10.58203125" style="1" customWidth="1"/>
    <col min="17" max="16384" width="8.6640625" style="1"/>
  </cols>
  <sheetData>
    <row r="2" spans="1:6" x14ac:dyDescent="0.3">
      <c r="A2" s="1" t="s">
        <v>131</v>
      </c>
      <c r="B2" s="1" t="s">
        <v>28</v>
      </c>
      <c r="C2" s="49">
        <f>Capex清单!D15</f>
        <v>336.00319999999999</v>
      </c>
      <c r="D2" s="1" t="s">
        <v>26</v>
      </c>
    </row>
    <row r="3" spans="1:6" x14ac:dyDescent="0.3">
      <c r="A3" s="1" t="s">
        <v>132</v>
      </c>
      <c r="B3" s="1" t="s">
        <v>27</v>
      </c>
      <c r="C3" s="2">
        <f>Opex清单!D14</f>
        <v>15.703205684210527</v>
      </c>
      <c r="D3" s="1" t="s">
        <v>26</v>
      </c>
    </row>
    <row r="4" spans="1:6" x14ac:dyDescent="0.3">
      <c r="B4" s="1" t="s">
        <v>12</v>
      </c>
    </row>
    <row r="5" spans="1:6" x14ac:dyDescent="0.3">
      <c r="C5" s="1" t="s">
        <v>4</v>
      </c>
      <c r="E5" s="1" t="s">
        <v>1</v>
      </c>
    </row>
    <row r="6" spans="1:6" x14ac:dyDescent="0.3">
      <c r="C6" s="2">
        <v>1</v>
      </c>
      <c r="D6" s="1" t="s">
        <v>2</v>
      </c>
    </row>
    <row r="7" spans="1:6" x14ac:dyDescent="0.3">
      <c r="C7" s="2">
        <v>1</v>
      </c>
      <c r="D7" s="1" t="s">
        <v>3</v>
      </c>
    </row>
    <row r="8" spans="1:6" x14ac:dyDescent="0.3">
      <c r="C8" s="2">
        <v>200</v>
      </c>
      <c r="D8" s="1" t="s">
        <v>38</v>
      </c>
    </row>
    <row r="9" spans="1:6" x14ac:dyDescent="0.3">
      <c r="C9" s="2">
        <v>0.4</v>
      </c>
      <c r="D9" s="1" t="s">
        <v>10</v>
      </c>
    </row>
    <row r="10" spans="1:6" x14ac:dyDescent="0.3">
      <c r="C10" s="1" t="s">
        <v>40</v>
      </c>
      <c r="F10" s="1" t="s">
        <v>134</v>
      </c>
    </row>
    <row r="11" spans="1:6" x14ac:dyDescent="0.3">
      <c r="C11" s="2"/>
      <c r="D11" s="1" t="s">
        <v>2</v>
      </c>
      <c r="E11" s="4" t="s">
        <v>43</v>
      </c>
    </row>
    <row r="12" spans="1:6" x14ac:dyDescent="0.3">
      <c r="C12" s="2"/>
      <c r="D12" s="1" t="s">
        <v>3</v>
      </c>
    </row>
    <row r="13" spans="1:6" x14ac:dyDescent="0.3">
      <c r="C13" s="2"/>
      <c r="D13" s="1" t="s">
        <v>9</v>
      </c>
    </row>
    <row r="14" spans="1:6" x14ac:dyDescent="0.3">
      <c r="C14" s="2"/>
      <c r="D14" s="1" t="s">
        <v>10</v>
      </c>
    </row>
    <row r="15" spans="1:6" x14ac:dyDescent="0.3">
      <c r="C15" s="1" t="s">
        <v>39</v>
      </c>
    </row>
    <row r="16" spans="1:6" x14ac:dyDescent="0.3">
      <c r="C16" s="4" t="s">
        <v>43</v>
      </c>
    </row>
    <row r="20" spans="3:11" x14ac:dyDescent="0.3">
      <c r="C20" s="1" t="s">
        <v>41</v>
      </c>
      <c r="E20" s="1" t="s">
        <v>133</v>
      </c>
    </row>
    <row r="21" spans="3:11" x14ac:dyDescent="0.3">
      <c r="C21" s="4" t="s">
        <v>44</v>
      </c>
    </row>
    <row r="25" spans="3:11" x14ac:dyDescent="0.3">
      <c r="C25" s="1" t="s">
        <v>11</v>
      </c>
      <c r="E25" s="4" t="s">
        <v>42</v>
      </c>
    </row>
    <row r="26" spans="3:11" x14ac:dyDescent="0.3">
      <c r="C26" s="2">
        <v>1</v>
      </c>
      <c r="D26" s="1" t="s">
        <v>2</v>
      </c>
      <c r="I26" s="1" t="s">
        <v>7</v>
      </c>
    </row>
    <row r="27" spans="3:11" x14ac:dyDescent="0.3">
      <c r="C27" s="2">
        <v>1</v>
      </c>
      <c r="D27" s="1" t="s">
        <v>3</v>
      </c>
      <c r="I27" s="1" t="s">
        <v>8</v>
      </c>
    </row>
    <row r="28" spans="3:11" x14ac:dyDescent="0.3">
      <c r="C28" s="2">
        <v>40</v>
      </c>
      <c r="D28" s="1" t="s">
        <v>9</v>
      </c>
    </row>
    <row r="29" spans="3:11" x14ac:dyDescent="0.3">
      <c r="C29" s="2">
        <v>0.8</v>
      </c>
      <c r="D29" s="1" t="s">
        <v>10</v>
      </c>
    </row>
    <row r="32" spans="3:11" s="3" customFormat="1" x14ac:dyDescent="0.3">
      <c r="C32" s="3" t="s">
        <v>29</v>
      </c>
      <c r="D32" s="3" t="s">
        <v>30</v>
      </c>
      <c r="E32" s="3" t="s">
        <v>31</v>
      </c>
      <c r="F32" s="3" t="s">
        <v>32</v>
      </c>
      <c r="G32" s="3" t="s">
        <v>33</v>
      </c>
      <c r="H32" s="3" t="s">
        <v>34</v>
      </c>
      <c r="I32" s="3" t="s">
        <v>35</v>
      </c>
      <c r="J32" s="3" t="s">
        <v>36</v>
      </c>
      <c r="K32" s="3" t="s">
        <v>37</v>
      </c>
    </row>
    <row r="33" spans="2:11" x14ac:dyDescent="0.3">
      <c r="B33" s="1" t="s">
        <v>12</v>
      </c>
    </row>
    <row r="34" spans="2:11" x14ac:dyDescent="0.3">
      <c r="B34" s="1" t="s">
        <v>4</v>
      </c>
      <c r="D34" s="1">
        <f>$C$6*$C$7*$C$8*$C$9/10000</f>
        <v>8.0000000000000002E-3</v>
      </c>
      <c r="E34" s="1">
        <f t="shared" ref="E34:K34" si="0">$C$6*$C$7*$C$8*$C$9/10000</f>
        <v>8.0000000000000002E-3</v>
      </c>
      <c r="F34" s="1">
        <f t="shared" si="0"/>
        <v>8.0000000000000002E-3</v>
      </c>
      <c r="G34" s="1">
        <f t="shared" si="0"/>
        <v>8.0000000000000002E-3</v>
      </c>
      <c r="H34" s="1">
        <f t="shared" si="0"/>
        <v>8.0000000000000002E-3</v>
      </c>
      <c r="I34" s="1">
        <f t="shared" si="0"/>
        <v>8.0000000000000002E-3</v>
      </c>
      <c r="J34" s="1">
        <f t="shared" si="0"/>
        <v>8.0000000000000002E-3</v>
      </c>
      <c r="K34" s="1">
        <f t="shared" si="0"/>
        <v>8.0000000000000002E-3</v>
      </c>
    </row>
    <row r="35" spans="2:11" x14ac:dyDescent="0.3">
      <c r="B35" s="1" t="s">
        <v>5</v>
      </c>
    </row>
    <row r="36" spans="2:11" x14ac:dyDescent="0.3">
      <c r="B36" s="1" t="s">
        <v>6</v>
      </c>
    </row>
    <row r="37" spans="2:11" x14ac:dyDescent="0.3">
      <c r="B37" s="4"/>
    </row>
    <row r="38" spans="2:11" x14ac:dyDescent="0.3">
      <c r="B38" s="4"/>
    </row>
    <row r="40" spans="2:11" x14ac:dyDescent="0.3">
      <c r="B40" s="1" t="s">
        <v>13</v>
      </c>
    </row>
    <row r="41" spans="2:11" x14ac:dyDescent="0.3">
      <c r="B41" s="1" t="s">
        <v>14</v>
      </c>
    </row>
    <row r="42" spans="2:11" x14ac:dyDescent="0.3">
      <c r="B42" s="1" t="s">
        <v>15</v>
      </c>
      <c r="C42" s="1" t="s">
        <v>21</v>
      </c>
    </row>
    <row r="44" spans="2:11" x14ac:dyDescent="0.3">
      <c r="B44" s="1" t="s">
        <v>16</v>
      </c>
    </row>
    <row r="47" spans="2:11" x14ac:dyDescent="0.3">
      <c r="B47" s="1" t="s">
        <v>17</v>
      </c>
    </row>
    <row r="48" spans="2:11" x14ac:dyDescent="0.3">
      <c r="B48" s="1" t="s">
        <v>0</v>
      </c>
    </row>
    <row r="49" spans="1:2" x14ac:dyDescent="0.3">
      <c r="B49" s="1" t="s">
        <v>18</v>
      </c>
    </row>
    <row r="50" spans="1:2" x14ac:dyDescent="0.3">
      <c r="B50" s="1" t="s">
        <v>19</v>
      </c>
    </row>
    <row r="53" spans="1:2" x14ac:dyDescent="0.3">
      <c r="B53" s="1" t="s">
        <v>20</v>
      </c>
    </row>
    <row r="54" spans="1:2" x14ac:dyDescent="0.3">
      <c r="B54" s="1" t="s">
        <v>25</v>
      </c>
    </row>
    <row r="55" spans="1:2" x14ac:dyDescent="0.3">
      <c r="B55" s="1" t="s">
        <v>22</v>
      </c>
    </row>
    <row r="56" spans="1:2" x14ac:dyDescent="0.3">
      <c r="A56" s="4"/>
      <c r="B56" s="1" t="s">
        <v>23</v>
      </c>
    </row>
    <row r="57" spans="1:2" x14ac:dyDescent="0.3">
      <c r="A57" s="4"/>
      <c r="B57" s="1" t="s">
        <v>15</v>
      </c>
    </row>
    <row r="60" spans="1:2" x14ac:dyDescent="0.3">
      <c r="B60" s="1" t="s">
        <v>24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1F796-88C3-4FC8-856B-393E3C01180A}">
  <sheetPr>
    <tabColor theme="1" tint="0.499984740745262"/>
  </sheetPr>
  <dimension ref="A1:O58"/>
  <sheetViews>
    <sheetView tabSelected="1" topLeftCell="A21" zoomScale="73" zoomScaleNormal="100" workbookViewId="0">
      <selection activeCell="C20" sqref="C20"/>
    </sheetView>
  </sheetViews>
  <sheetFormatPr defaultRowHeight="14.5" x14ac:dyDescent="0.3"/>
  <cols>
    <col min="1" max="1" width="23.5" style="104" customWidth="1"/>
    <col min="2" max="2" width="12.58203125" style="104" customWidth="1"/>
    <col min="3" max="3" width="12.58203125" style="111" customWidth="1"/>
    <col min="4" max="5" width="12.58203125" style="104" customWidth="1"/>
    <col min="6" max="6" width="16" style="111" customWidth="1"/>
    <col min="7" max="7" width="19" style="104" customWidth="1"/>
    <col min="8" max="15" width="12.58203125" style="104" customWidth="1"/>
    <col min="16" max="25" width="10.58203125" style="104" customWidth="1"/>
    <col min="26" max="16384" width="8.6640625" style="104"/>
  </cols>
  <sheetData>
    <row r="1" spans="1:15" ht="15" thickBot="1" x14ac:dyDescent="0.35">
      <c r="A1" s="250" t="str">
        <f>C4&amp;"项目基础信息"</f>
        <v>储充项目基础信息</v>
      </c>
      <c r="B1" s="251"/>
      <c r="C1" s="252"/>
    </row>
    <row r="2" spans="1:15" x14ac:dyDescent="0.3">
      <c r="A2" s="253" t="s">
        <v>137</v>
      </c>
      <c r="B2" s="254"/>
      <c r="C2" s="255"/>
      <c r="D2" s="105" t="s">
        <v>166</v>
      </c>
      <c r="G2" s="101" t="s">
        <v>224</v>
      </c>
      <c r="H2" s="71"/>
      <c r="I2" s="167"/>
      <c r="J2" s="71"/>
      <c r="K2" s="71"/>
      <c r="L2" s="167"/>
      <c r="M2" s="71"/>
      <c r="N2" s="71"/>
      <c r="O2" s="72"/>
    </row>
    <row r="3" spans="1:15" x14ac:dyDescent="0.3">
      <c r="A3" s="87" t="s">
        <v>138</v>
      </c>
      <c r="B3" s="73"/>
      <c r="C3" s="150" t="s">
        <v>191</v>
      </c>
      <c r="D3" s="104" t="s">
        <v>162</v>
      </c>
      <c r="G3" s="74" t="s">
        <v>141</v>
      </c>
      <c r="H3" s="75" t="s">
        <v>161</v>
      </c>
      <c r="I3" s="78"/>
      <c r="J3" s="199" t="s">
        <v>223</v>
      </c>
      <c r="K3" s="200" t="s">
        <v>269</v>
      </c>
      <c r="L3" s="200" t="s">
        <v>336</v>
      </c>
      <c r="M3" s="199" t="s">
        <v>190</v>
      </c>
      <c r="N3" s="199" t="s">
        <v>280</v>
      </c>
      <c r="O3" s="201" t="s">
        <v>281</v>
      </c>
    </row>
    <row r="4" spans="1:15" x14ac:dyDescent="0.3">
      <c r="A4" s="87" t="s">
        <v>139</v>
      </c>
      <c r="B4" s="77"/>
      <c r="C4" s="150" t="s">
        <v>193</v>
      </c>
      <c r="G4" s="138" t="s">
        <v>57</v>
      </c>
      <c r="H4" s="139" t="s">
        <v>58</v>
      </c>
      <c r="I4" s="139"/>
      <c r="J4" s="202">
        <v>0.13</v>
      </c>
      <c r="K4" s="233" t="s">
        <v>330</v>
      </c>
      <c r="L4" s="234" t="s">
        <v>329</v>
      </c>
      <c r="M4" s="177">
        <f>L4*K4</f>
        <v>50</v>
      </c>
      <c r="N4" s="178">
        <f>M4/(1+J4)*J4</f>
        <v>5.7522123893805324</v>
      </c>
      <c r="O4" s="179">
        <f>M4-N4</f>
        <v>44.247787610619469</v>
      </c>
    </row>
    <row r="5" spans="1:15" x14ac:dyDescent="0.3">
      <c r="A5" s="87" t="s">
        <v>163</v>
      </c>
      <c r="B5" s="77"/>
      <c r="C5" s="151">
        <v>46265</v>
      </c>
      <c r="D5" s="104" t="s">
        <v>195</v>
      </c>
      <c r="G5" s="140" t="s">
        <v>57</v>
      </c>
      <c r="H5" s="141" t="s">
        <v>61</v>
      </c>
      <c r="I5" s="141"/>
      <c r="J5" s="202">
        <v>0.13</v>
      </c>
      <c r="K5" s="235"/>
      <c r="L5" s="236" t="s">
        <v>332</v>
      </c>
      <c r="M5" s="180">
        <f>L5*K5</f>
        <v>0</v>
      </c>
      <c r="N5" s="181">
        <f t="shared" ref="N5:N8" si="0">M5/(1+J5)*J5</f>
        <v>0</v>
      </c>
      <c r="O5" s="182">
        <f t="shared" ref="O5:O8" si="1">M5-N5</f>
        <v>0</v>
      </c>
    </row>
    <row r="6" spans="1:15" x14ac:dyDescent="0.3">
      <c r="A6" s="87" t="s">
        <v>164</v>
      </c>
      <c r="B6" s="77"/>
      <c r="C6" s="152">
        <v>4</v>
      </c>
      <c r="D6" s="104" t="s">
        <v>195</v>
      </c>
      <c r="G6" s="140" t="s">
        <v>62</v>
      </c>
      <c r="H6" s="142" t="s">
        <v>184</v>
      </c>
      <c r="I6" s="142"/>
      <c r="J6" s="202">
        <v>0.13</v>
      </c>
      <c r="K6" s="237" t="s">
        <v>331</v>
      </c>
      <c r="L6" s="238" t="s">
        <v>328</v>
      </c>
      <c r="M6" s="180">
        <f>L6*K6</f>
        <v>38.5</v>
      </c>
      <c r="N6" s="181">
        <f t="shared" si="0"/>
        <v>4.4292035398230096</v>
      </c>
      <c r="O6" s="182">
        <f t="shared" si="1"/>
        <v>34.070796460176993</v>
      </c>
    </row>
    <row r="7" spans="1:15" x14ac:dyDescent="0.3">
      <c r="A7" s="87" t="s">
        <v>165</v>
      </c>
      <c r="B7" s="77"/>
      <c r="C7" s="151">
        <v>46388</v>
      </c>
      <c r="D7" s="104" t="s">
        <v>195</v>
      </c>
      <c r="G7" s="140" t="s">
        <v>185</v>
      </c>
      <c r="H7" s="142" t="s">
        <v>186</v>
      </c>
      <c r="I7" s="142"/>
      <c r="J7" s="202">
        <v>0.13</v>
      </c>
      <c r="K7" s="237" t="s">
        <v>326</v>
      </c>
      <c r="L7" s="238" t="s">
        <v>327</v>
      </c>
      <c r="M7" s="180">
        <f>L7*K7</f>
        <v>19.600000000000001</v>
      </c>
      <c r="N7" s="181">
        <f t="shared" si="0"/>
        <v>2.2548672566371688</v>
      </c>
      <c r="O7" s="182">
        <f t="shared" si="1"/>
        <v>17.345132743362832</v>
      </c>
    </row>
    <row r="8" spans="1:15" x14ac:dyDescent="0.3">
      <c r="A8" s="88" t="s">
        <v>140</v>
      </c>
      <c r="B8" s="78"/>
      <c r="C8" s="153"/>
      <c r="G8" s="140" t="s">
        <v>64</v>
      </c>
      <c r="H8" s="143" t="s">
        <v>65</v>
      </c>
      <c r="I8" s="143"/>
      <c r="J8" s="203">
        <v>0.09</v>
      </c>
      <c r="K8" s="239" t="s">
        <v>335</v>
      </c>
      <c r="L8" s="240" t="s">
        <v>329</v>
      </c>
      <c r="M8" s="183">
        <f>L8*K8</f>
        <v>126.72</v>
      </c>
      <c r="N8" s="184">
        <f t="shared" si="0"/>
        <v>10.463119266055044</v>
      </c>
      <c r="O8" s="185">
        <f t="shared" si="1"/>
        <v>116.25688073394495</v>
      </c>
    </row>
    <row r="9" spans="1:15" x14ac:dyDescent="0.3">
      <c r="A9" s="87" t="s">
        <v>192</v>
      </c>
      <c r="B9" s="79"/>
      <c r="C9" s="152">
        <f>C17</f>
        <v>8</v>
      </c>
      <c r="D9" s="81" t="s">
        <v>194</v>
      </c>
      <c r="E9" s="81"/>
      <c r="F9" s="112"/>
      <c r="G9" s="80" t="s">
        <v>187</v>
      </c>
      <c r="H9" s="76"/>
      <c r="I9" s="168"/>
      <c r="J9" s="204"/>
      <c r="K9" s="199"/>
      <c r="L9" s="205"/>
      <c r="M9" s="206"/>
      <c r="N9" s="206"/>
      <c r="O9" s="207"/>
    </row>
    <row r="10" spans="1:15" x14ac:dyDescent="0.3">
      <c r="A10" s="253" t="s">
        <v>268</v>
      </c>
      <c r="B10" s="254"/>
      <c r="C10" s="255"/>
      <c r="G10" s="140" t="s">
        <v>70</v>
      </c>
      <c r="H10" s="142" t="s">
        <v>71</v>
      </c>
      <c r="I10" s="142"/>
      <c r="J10" s="202">
        <v>0.13</v>
      </c>
      <c r="K10" s="237" t="s">
        <v>333</v>
      </c>
      <c r="L10" s="238" t="s">
        <v>327</v>
      </c>
      <c r="M10" s="180">
        <f>L10*K10</f>
        <v>36.6</v>
      </c>
      <c r="N10" s="181">
        <f t="shared" ref="N10:N11" si="2">M10/(1+J10)*J10</f>
        <v>4.2106194690265495</v>
      </c>
      <c r="O10" s="182">
        <f t="shared" ref="O10:O11" si="3">M10-N10</f>
        <v>32.389380530973455</v>
      </c>
    </row>
    <row r="11" spans="1:15" x14ac:dyDescent="0.3">
      <c r="A11" s="88" t="s">
        <v>142</v>
      </c>
      <c r="B11" s="75"/>
      <c r="C11" s="154">
        <v>4</v>
      </c>
      <c r="G11" s="140" t="s">
        <v>64</v>
      </c>
      <c r="H11" s="143" t="s">
        <v>72</v>
      </c>
      <c r="I11" s="143"/>
      <c r="J11" s="203">
        <v>0.09</v>
      </c>
      <c r="K11" s="239" t="s">
        <v>334</v>
      </c>
      <c r="L11" s="240" t="s">
        <v>329</v>
      </c>
      <c r="M11" s="186">
        <v>23.58</v>
      </c>
      <c r="N11" s="187">
        <f t="shared" si="2"/>
        <v>1.9469724770642198</v>
      </c>
      <c r="O11" s="188">
        <f t="shared" si="3"/>
        <v>21.633027522935777</v>
      </c>
    </row>
    <row r="12" spans="1:15" x14ac:dyDescent="0.3">
      <c r="A12" s="88" t="s">
        <v>143</v>
      </c>
      <c r="B12" s="75"/>
      <c r="C12" s="154">
        <v>22</v>
      </c>
      <c r="G12" s="80" t="s">
        <v>188</v>
      </c>
      <c r="H12" s="76"/>
      <c r="I12" s="168"/>
      <c r="J12" s="204"/>
      <c r="K12" s="199"/>
      <c r="L12" s="205"/>
      <c r="M12" s="208"/>
      <c r="N12" s="208"/>
      <c r="O12" s="209"/>
    </row>
    <row r="13" spans="1:15" x14ac:dyDescent="0.3">
      <c r="A13" s="88" t="s">
        <v>183</v>
      </c>
      <c r="B13" s="75"/>
      <c r="C13" s="153"/>
      <c r="F13" s="111" t="s">
        <v>345</v>
      </c>
      <c r="G13" s="140" t="s">
        <v>75</v>
      </c>
      <c r="H13" s="139" t="s">
        <v>76</v>
      </c>
      <c r="I13" s="139"/>
      <c r="J13" s="202">
        <v>0.13</v>
      </c>
      <c r="K13" s="233" t="s">
        <v>344</v>
      </c>
      <c r="L13" s="234" t="s">
        <v>329</v>
      </c>
      <c r="M13" s="177">
        <v>12.9</v>
      </c>
      <c r="N13" s="178">
        <f t="shared" ref="N13:N16" si="4">M13/(1+J13)*J13</f>
        <v>1.4840707964601774</v>
      </c>
      <c r="O13" s="179">
        <f t="shared" ref="O13:O16" si="5">M13-N13</f>
        <v>11.415929203539823</v>
      </c>
    </row>
    <row r="14" spans="1:15" x14ac:dyDescent="0.3">
      <c r="A14" s="88" t="s">
        <v>167</v>
      </c>
      <c r="B14" s="75"/>
      <c r="C14" s="153">
        <v>4</v>
      </c>
      <c r="F14" s="111" t="s">
        <v>346</v>
      </c>
      <c r="G14" s="140" t="s">
        <v>78</v>
      </c>
      <c r="H14" s="141" t="s">
        <v>79</v>
      </c>
      <c r="I14" s="141"/>
      <c r="J14" s="202">
        <v>0.06</v>
      </c>
      <c r="K14" s="235" t="s">
        <v>343</v>
      </c>
      <c r="L14" s="236" t="s">
        <v>329</v>
      </c>
      <c r="M14" s="180">
        <f>L14*K14</f>
        <v>40.5</v>
      </c>
      <c r="N14" s="181">
        <f t="shared" si="4"/>
        <v>2.2924528301886791</v>
      </c>
      <c r="O14" s="182">
        <f t="shared" si="5"/>
        <v>38.20754716981132</v>
      </c>
    </row>
    <row r="15" spans="1:15" x14ac:dyDescent="0.3">
      <c r="A15" s="89" t="s">
        <v>144</v>
      </c>
      <c r="B15" s="78"/>
      <c r="C15" s="155">
        <v>350</v>
      </c>
      <c r="G15" s="140" t="s">
        <v>81</v>
      </c>
      <c r="H15" s="141" t="s">
        <v>82</v>
      </c>
      <c r="I15" s="141"/>
      <c r="J15" s="210">
        <v>0</v>
      </c>
      <c r="K15" s="235"/>
      <c r="L15" s="236"/>
      <c r="M15" s="180">
        <v>0</v>
      </c>
      <c r="N15" s="181">
        <f t="shared" si="4"/>
        <v>0</v>
      </c>
      <c r="O15" s="182">
        <f t="shared" si="5"/>
        <v>0</v>
      </c>
    </row>
    <row r="16" spans="1:15" x14ac:dyDescent="0.3">
      <c r="A16" s="92" t="s">
        <v>155</v>
      </c>
      <c r="B16" s="82"/>
      <c r="C16" s="156"/>
      <c r="G16" s="144" t="s">
        <v>84</v>
      </c>
      <c r="H16" s="143" t="s">
        <v>85</v>
      </c>
      <c r="I16" s="143"/>
      <c r="J16" s="210">
        <v>0</v>
      </c>
      <c r="K16" s="239"/>
      <c r="L16" s="240"/>
      <c r="M16" s="183">
        <v>10</v>
      </c>
      <c r="N16" s="184">
        <f t="shared" si="4"/>
        <v>0</v>
      </c>
      <c r="O16" s="185">
        <f t="shared" si="5"/>
        <v>10</v>
      </c>
    </row>
    <row r="17" spans="1:15" ht="15" thickBot="1" x14ac:dyDescent="0.35">
      <c r="A17" s="93" t="s">
        <v>156</v>
      </c>
      <c r="B17" s="75"/>
      <c r="C17" s="157">
        <v>8</v>
      </c>
      <c r="G17" s="130"/>
      <c r="H17" s="131" t="s">
        <v>189</v>
      </c>
      <c r="I17" s="169"/>
      <c r="J17" s="211"/>
      <c r="K17" s="211"/>
      <c r="L17" s="212"/>
      <c r="M17" s="213">
        <f>SUM(M4:M8,M10:M11,M13:M16)</f>
        <v>358.4</v>
      </c>
      <c r="N17" s="213">
        <f>SUM(N4:N8,N10:N11,N13:N16)</f>
        <v>32.833518024635374</v>
      </c>
      <c r="O17" s="214">
        <f>SUM(O4:O8,O10:O11,O13:O16)</f>
        <v>325.56648197536464</v>
      </c>
    </row>
    <row r="18" spans="1:15" ht="15" thickBot="1" x14ac:dyDescent="0.35">
      <c r="A18" s="94" t="s">
        <v>157</v>
      </c>
      <c r="B18" s="75"/>
      <c r="C18" s="158">
        <v>0</v>
      </c>
      <c r="I18" s="170"/>
      <c r="J18" s="102"/>
      <c r="K18" s="102"/>
      <c r="L18" s="175"/>
    </row>
    <row r="19" spans="1:15" x14ac:dyDescent="0.3">
      <c r="A19" s="259" t="s">
        <v>270</v>
      </c>
      <c r="B19" s="260"/>
      <c r="C19" s="261"/>
      <c r="D19" s="247" t="s">
        <v>271</v>
      </c>
      <c r="E19" s="247"/>
      <c r="F19" s="248"/>
      <c r="G19" s="247" t="s">
        <v>272</v>
      </c>
      <c r="H19" s="247"/>
      <c r="I19" s="248"/>
      <c r="J19" s="247" t="s">
        <v>273</v>
      </c>
      <c r="K19" s="247"/>
      <c r="L19" s="248"/>
      <c r="M19" s="247" t="s">
        <v>278</v>
      </c>
      <c r="N19" s="247"/>
      <c r="O19" s="249"/>
    </row>
    <row r="20" spans="1:15" x14ac:dyDescent="0.3">
      <c r="A20" s="95" t="s">
        <v>145</v>
      </c>
      <c r="B20" s="75"/>
      <c r="C20" s="121">
        <v>4</v>
      </c>
      <c r="D20" s="97" t="s">
        <v>324</v>
      </c>
      <c r="E20" s="75"/>
      <c r="F20" s="241">
        <v>1.5</v>
      </c>
      <c r="G20" s="118" t="s">
        <v>208</v>
      </c>
      <c r="H20" s="85"/>
      <c r="I20" s="171">
        <v>40</v>
      </c>
      <c r="J20" s="97" t="s">
        <v>174</v>
      </c>
      <c r="K20" s="75"/>
      <c r="L20" s="176">
        <f>1-F31</f>
        <v>0</v>
      </c>
      <c r="M20" s="97" t="s">
        <v>179</v>
      </c>
      <c r="O20" s="189">
        <v>20</v>
      </c>
    </row>
    <row r="21" spans="1:15" x14ac:dyDescent="0.3">
      <c r="A21" s="95" t="s">
        <v>172</v>
      </c>
      <c r="B21" s="75"/>
      <c r="C21" s="121">
        <v>40</v>
      </c>
      <c r="D21" s="104" t="s">
        <v>196</v>
      </c>
      <c r="E21" s="75"/>
      <c r="F21" s="122">
        <f>262*L10</f>
        <v>524</v>
      </c>
      <c r="G21" s="119" t="s">
        <v>206</v>
      </c>
      <c r="H21" s="86"/>
      <c r="I21" s="172">
        <f>C14</f>
        <v>4</v>
      </c>
      <c r="J21" s="97" t="s">
        <v>175</v>
      </c>
      <c r="K21" s="117">
        <v>0.13</v>
      </c>
      <c r="L21" s="122"/>
      <c r="M21" s="97" t="s">
        <v>180</v>
      </c>
      <c r="N21" s="117">
        <v>0.13</v>
      </c>
      <c r="O21" s="189">
        <v>1</v>
      </c>
    </row>
    <row r="22" spans="1:15" x14ac:dyDescent="0.3">
      <c r="A22" s="91" t="s">
        <v>173</v>
      </c>
      <c r="B22" s="103">
        <v>0.13</v>
      </c>
      <c r="C22" s="147">
        <v>0.4</v>
      </c>
      <c r="D22" s="81" t="s">
        <v>200</v>
      </c>
      <c r="E22" s="84"/>
      <c r="F22" s="123">
        <v>0.93</v>
      </c>
      <c r="G22" s="120" t="s">
        <v>207</v>
      </c>
      <c r="H22" s="117">
        <v>0.13</v>
      </c>
      <c r="I22" s="173">
        <v>0.8</v>
      </c>
      <c r="J22" s="97" t="s">
        <v>176</v>
      </c>
      <c r="K22" s="75"/>
      <c r="L22" s="149"/>
      <c r="M22" s="100" t="s">
        <v>181</v>
      </c>
      <c r="N22" s="81"/>
      <c r="O22" s="190">
        <v>10</v>
      </c>
    </row>
    <row r="23" spans="1:15" x14ac:dyDescent="0.3">
      <c r="A23" s="83" t="s">
        <v>146</v>
      </c>
      <c r="B23" s="75"/>
      <c r="C23" s="148">
        <f>C11*C20*C21*C22*$C$15/10000</f>
        <v>8.9600000000000009</v>
      </c>
      <c r="D23" s="98" t="s">
        <v>158</v>
      </c>
      <c r="E23" s="81"/>
      <c r="F23" s="113"/>
      <c r="G23" s="97" t="s">
        <v>226</v>
      </c>
      <c r="H23" s="86"/>
      <c r="I23" s="174">
        <f>I20*I21*I22/10000*C15</f>
        <v>4.4800000000000004</v>
      </c>
      <c r="J23" s="97" t="s">
        <v>177</v>
      </c>
      <c r="K23" s="75"/>
      <c r="L23" s="149"/>
      <c r="M23" s="97" t="s">
        <v>182</v>
      </c>
      <c r="O23" s="191">
        <f>O20*O22*O21/10000</f>
        <v>0.02</v>
      </c>
    </row>
    <row r="24" spans="1:15" x14ac:dyDescent="0.3">
      <c r="A24" s="95" t="s">
        <v>147</v>
      </c>
      <c r="B24" s="75"/>
      <c r="C24" s="121">
        <v>4</v>
      </c>
      <c r="D24" s="99" t="s">
        <v>159</v>
      </c>
      <c r="F24" s="124" t="s">
        <v>160</v>
      </c>
      <c r="I24" s="106"/>
      <c r="J24" s="97" t="s">
        <v>178</v>
      </c>
      <c r="K24" s="75"/>
      <c r="L24" s="148">
        <f>L20*L22*L23*L21/10000</f>
        <v>0</v>
      </c>
      <c r="O24" s="116"/>
    </row>
    <row r="25" spans="1:15" x14ac:dyDescent="0.3">
      <c r="A25" s="95" t="s">
        <v>148</v>
      </c>
      <c r="B25" s="75"/>
      <c r="C25" s="121">
        <v>40</v>
      </c>
      <c r="D25" s="81" t="s">
        <v>198</v>
      </c>
      <c r="E25" s="84"/>
      <c r="F25" s="123">
        <v>0.85</v>
      </c>
      <c r="I25" s="106"/>
      <c r="L25" s="114"/>
      <c r="O25" s="116"/>
    </row>
    <row r="26" spans="1:15" x14ac:dyDescent="0.3">
      <c r="A26" s="91" t="s">
        <v>149</v>
      </c>
      <c r="B26" s="103">
        <v>0.13</v>
      </c>
      <c r="C26" s="147">
        <v>0.4</v>
      </c>
      <c r="D26" s="81" t="s">
        <v>199</v>
      </c>
      <c r="E26" s="84"/>
      <c r="F26" s="125">
        <v>0.8</v>
      </c>
      <c r="I26" s="106"/>
      <c r="L26" s="114"/>
      <c r="O26" s="107"/>
    </row>
    <row r="27" spans="1:15" x14ac:dyDescent="0.3">
      <c r="A27" s="83" t="s">
        <v>150</v>
      </c>
      <c r="B27" s="75"/>
      <c r="C27" s="148">
        <f>C12*C24*C25*C26*$C$15/10000</f>
        <v>49.28</v>
      </c>
      <c r="D27" s="97" t="s">
        <v>274</v>
      </c>
      <c r="E27" s="75"/>
      <c r="F27" s="126">
        <f>F21*F20*F22*F25*F26^0.5</f>
        <v>555.73712986555074</v>
      </c>
      <c r="G27" s="226"/>
      <c r="H27" s="226"/>
      <c r="I27" s="106"/>
      <c r="L27" s="114"/>
      <c r="O27" s="107"/>
    </row>
    <row r="28" spans="1:15" x14ac:dyDescent="0.3">
      <c r="A28" s="95" t="s">
        <v>151</v>
      </c>
      <c r="B28" s="75"/>
      <c r="C28" s="121"/>
      <c r="D28" s="97" t="s">
        <v>276</v>
      </c>
      <c r="E28" s="75"/>
      <c r="F28" s="126">
        <f>F27*F26</f>
        <v>444.58970389244064</v>
      </c>
      <c r="G28" s="226"/>
      <c r="H28" s="226"/>
      <c r="I28" s="106"/>
      <c r="L28" s="106"/>
      <c r="O28" s="107"/>
    </row>
    <row r="29" spans="1:15" x14ac:dyDescent="0.3">
      <c r="A29" s="95" t="s">
        <v>152</v>
      </c>
      <c r="B29" s="75"/>
      <c r="C29" s="122"/>
      <c r="D29" s="100" t="s">
        <v>202</v>
      </c>
      <c r="E29" s="103">
        <v>0.13</v>
      </c>
      <c r="F29" s="113">
        <v>0.77</v>
      </c>
      <c r="H29" s="226"/>
      <c r="I29" s="106"/>
      <c r="L29" s="106"/>
      <c r="O29" s="107"/>
    </row>
    <row r="30" spans="1:15" x14ac:dyDescent="0.3">
      <c r="A30" s="95" t="s">
        <v>153</v>
      </c>
      <c r="B30" s="117">
        <v>0.13</v>
      </c>
      <c r="C30" s="149"/>
      <c r="D30" s="100" t="s">
        <v>203</v>
      </c>
      <c r="E30" s="103">
        <v>0.13</v>
      </c>
      <c r="F30" s="113">
        <v>0.35</v>
      </c>
      <c r="I30" s="106"/>
      <c r="L30" s="106"/>
      <c r="O30" s="107"/>
    </row>
    <row r="31" spans="1:15" x14ac:dyDescent="0.3">
      <c r="A31" s="83" t="s">
        <v>154</v>
      </c>
      <c r="B31" s="117"/>
      <c r="C31" s="148">
        <f>C13*C28*C29*C30*$C$15/10000</f>
        <v>0</v>
      </c>
      <c r="D31" s="100" t="s">
        <v>204</v>
      </c>
      <c r="E31" s="84"/>
      <c r="F31" s="127">
        <v>1</v>
      </c>
      <c r="I31" s="106"/>
      <c r="L31" s="106"/>
      <c r="O31" s="107"/>
    </row>
    <row r="32" spans="1:15" x14ac:dyDescent="0.3">
      <c r="A32" s="95" t="s">
        <v>168</v>
      </c>
      <c r="B32" s="75"/>
      <c r="C32" s="121">
        <v>4</v>
      </c>
      <c r="D32" s="97" t="s">
        <v>205</v>
      </c>
      <c r="E32" s="117">
        <v>0.13</v>
      </c>
      <c r="F32" s="128">
        <f>(F28*F29-F30*F27)*C15/10000</f>
        <v>5.1739126790482795</v>
      </c>
      <c r="I32" s="106"/>
      <c r="L32" s="106"/>
      <c r="O32" s="107"/>
    </row>
    <row r="33" spans="1:15" x14ac:dyDescent="0.3">
      <c r="A33" s="95" t="s">
        <v>169</v>
      </c>
      <c r="B33" s="75"/>
      <c r="C33" s="121">
        <v>40</v>
      </c>
      <c r="F33" s="114"/>
      <c r="I33" s="106"/>
      <c r="L33" s="106"/>
      <c r="O33" s="107"/>
    </row>
    <row r="34" spans="1:15" x14ac:dyDescent="0.3">
      <c r="A34" s="91" t="s">
        <v>170</v>
      </c>
      <c r="B34" s="103">
        <v>0.13</v>
      </c>
      <c r="C34" s="147">
        <v>0.4</v>
      </c>
      <c r="F34" s="114"/>
      <c r="I34" s="106"/>
      <c r="L34" s="106"/>
      <c r="O34" s="107"/>
    </row>
    <row r="35" spans="1:15" x14ac:dyDescent="0.3">
      <c r="A35" s="83" t="s">
        <v>171</v>
      </c>
      <c r="B35" s="75"/>
      <c r="C35" s="148">
        <f>C14*C32*C33*C34*$C$15/10000</f>
        <v>8.9600000000000009</v>
      </c>
      <c r="F35" s="114"/>
      <c r="I35" s="106"/>
      <c r="L35" s="106"/>
      <c r="O35" s="107"/>
    </row>
    <row r="36" spans="1:15" ht="15" thickBot="1" x14ac:dyDescent="0.35">
      <c r="A36" s="96" t="s">
        <v>285</v>
      </c>
      <c r="B36" s="145"/>
      <c r="C36" s="146">
        <f>C20*C11*C21+C24*C25*C12+C32*C14*C33</f>
        <v>4800</v>
      </c>
      <c r="D36" s="108"/>
      <c r="E36" s="108"/>
      <c r="F36" s="115"/>
      <c r="G36" s="108"/>
      <c r="H36" s="108"/>
      <c r="I36" s="109"/>
      <c r="J36" s="108"/>
      <c r="K36" s="108"/>
      <c r="L36" s="109"/>
      <c r="M36" s="108"/>
      <c r="N36" s="108"/>
      <c r="O36" s="110"/>
    </row>
    <row r="37" spans="1:15" x14ac:dyDescent="0.3">
      <c r="A37" s="256" t="s">
        <v>225</v>
      </c>
      <c r="B37" s="257"/>
      <c r="C37" s="258"/>
    </row>
    <row r="38" spans="1:15" x14ac:dyDescent="0.4">
      <c r="A38" s="88" t="s">
        <v>209</v>
      </c>
      <c r="B38" s="219">
        <v>0.06</v>
      </c>
      <c r="C38" s="159">
        <f>Opex清单!D2</f>
        <v>0.7</v>
      </c>
    </row>
    <row r="39" spans="1:15" x14ac:dyDescent="0.4">
      <c r="A39" s="88" t="s">
        <v>210</v>
      </c>
      <c r="B39" s="219">
        <v>0.06</v>
      </c>
      <c r="C39" s="159">
        <f>Opex清单!D3</f>
        <v>3</v>
      </c>
    </row>
    <row r="40" spans="1:15" x14ac:dyDescent="0.4">
      <c r="A40" s="90" t="s">
        <v>222</v>
      </c>
      <c r="B40" s="220"/>
      <c r="C40" s="160">
        <v>0.01</v>
      </c>
    </row>
    <row r="41" spans="1:15" x14ac:dyDescent="0.4">
      <c r="A41" s="88" t="s">
        <v>211</v>
      </c>
      <c r="B41" s="219"/>
      <c r="C41" s="159">
        <v>2</v>
      </c>
    </row>
    <row r="42" spans="1:15" x14ac:dyDescent="0.4">
      <c r="A42" s="88" t="s">
        <v>212</v>
      </c>
      <c r="B42" s="219">
        <v>0.06</v>
      </c>
      <c r="C42" s="159">
        <f>Opex清单!D5</f>
        <v>0.255</v>
      </c>
    </row>
    <row r="43" spans="1:15" x14ac:dyDescent="0.4">
      <c r="A43" s="88" t="s">
        <v>213</v>
      </c>
      <c r="B43" s="219">
        <v>0.06</v>
      </c>
      <c r="C43" s="159">
        <v>1</v>
      </c>
    </row>
    <row r="44" spans="1:15" x14ac:dyDescent="0.4">
      <c r="A44" s="88" t="s">
        <v>214</v>
      </c>
      <c r="B44" s="219">
        <v>0.06</v>
      </c>
      <c r="C44" s="159">
        <v>0</v>
      </c>
    </row>
    <row r="45" spans="1:15" x14ac:dyDescent="0.4">
      <c r="A45" s="88" t="s">
        <v>215</v>
      </c>
      <c r="B45" s="219">
        <v>0.06</v>
      </c>
      <c r="C45" s="159">
        <f>Opex清单!D8</f>
        <v>1.048</v>
      </c>
    </row>
    <row r="46" spans="1:15" x14ac:dyDescent="0.4">
      <c r="A46" s="90" t="s">
        <v>222</v>
      </c>
      <c r="B46" s="220"/>
      <c r="C46" s="160">
        <v>0.01</v>
      </c>
    </row>
    <row r="47" spans="1:15" x14ac:dyDescent="0.4">
      <c r="A47" s="88" t="s">
        <v>216</v>
      </c>
      <c r="B47" s="219">
        <v>0.06</v>
      </c>
      <c r="C47" s="159">
        <f>Opex清单!D9</f>
        <v>7.3200000000000001E-4</v>
      </c>
    </row>
    <row r="48" spans="1:15" x14ac:dyDescent="0.4">
      <c r="A48" s="88" t="s">
        <v>217</v>
      </c>
      <c r="B48" s="219">
        <v>0.06</v>
      </c>
      <c r="C48" s="159">
        <v>2</v>
      </c>
    </row>
    <row r="49" spans="1:3" x14ac:dyDescent="0.4">
      <c r="A49" s="88" t="s">
        <v>218</v>
      </c>
      <c r="B49" s="219">
        <v>0.06</v>
      </c>
      <c r="C49" s="159">
        <v>0</v>
      </c>
    </row>
    <row r="50" spans="1:3" x14ac:dyDescent="0.4">
      <c r="A50" s="88" t="s">
        <v>219</v>
      </c>
      <c r="B50" s="219">
        <v>0.06</v>
      </c>
      <c r="C50" s="159">
        <v>0</v>
      </c>
    </row>
    <row r="51" spans="1:3" x14ac:dyDescent="0.3">
      <c r="A51" s="88" t="s">
        <v>220</v>
      </c>
      <c r="B51" s="117">
        <v>0.13</v>
      </c>
      <c r="C51" s="216">
        <f>Opex清单!D13</f>
        <v>5.6994736842105276</v>
      </c>
    </row>
    <row r="52" spans="1:3" ht="15" thickBot="1" x14ac:dyDescent="0.35">
      <c r="A52" s="221" t="s">
        <v>221</v>
      </c>
      <c r="B52" s="222"/>
      <c r="C52" s="223">
        <v>0.05</v>
      </c>
    </row>
    <row r="54" spans="1:3" x14ac:dyDescent="0.3">
      <c r="A54" s="232" t="s">
        <v>325</v>
      </c>
      <c r="B54" s="231"/>
      <c r="C54" s="231"/>
    </row>
    <row r="55" spans="1:3" x14ac:dyDescent="0.3">
      <c r="A55" s="228" t="s">
        <v>267</v>
      </c>
      <c r="B55" s="60"/>
      <c r="C55" s="229">
        <f>现金流量表!C39</f>
        <v>6.6906221812843887</v>
      </c>
    </row>
    <row r="56" spans="1:3" x14ac:dyDescent="0.3">
      <c r="A56" s="228" t="str">
        <f>"  2.运营期NPV（折现率"&amp;TEXT(B56,"#.0%")&amp;"，万元）"</f>
        <v xml:space="preserve">  2.运营期NPV（折现率8.0%，万元）</v>
      </c>
      <c r="B56" s="230">
        <v>0.08</v>
      </c>
      <c r="C56" s="229">
        <f>现金流量表!C40</f>
        <v>-22.472488432985443</v>
      </c>
    </row>
    <row r="57" spans="1:3" x14ac:dyDescent="0.3">
      <c r="A57" s="228" t="s">
        <v>283</v>
      </c>
      <c r="B57" s="60"/>
      <c r="C57" s="229">
        <f>现金流量表!C41</f>
        <v>5.8809275627136226E-2</v>
      </c>
    </row>
    <row r="58" spans="1:3" x14ac:dyDescent="0.3">
      <c r="A58" s="228" t="s">
        <v>284</v>
      </c>
      <c r="B58" s="60"/>
      <c r="C58" s="229">
        <f>现金流量表!C42</f>
        <v>0.89082599581458954</v>
      </c>
    </row>
  </sheetData>
  <protectedRanges>
    <protectedRange sqref="I18:J18 K3:K17 M3:O17 L18 G3:I17" name="其余区域2_2"/>
    <protectedRange sqref="C9 P12 A19:O19 C17:C18 F24 P3:P7" name="输入页输入区域_3"/>
  </protectedRanges>
  <mergeCells count="9">
    <mergeCell ref="J19:L19"/>
    <mergeCell ref="M19:O19"/>
    <mergeCell ref="A1:C1"/>
    <mergeCell ref="A2:C2"/>
    <mergeCell ref="A37:C37"/>
    <mergeCell ref="G19:I19"/>
    <mergeCell ref="A10:C10"/>
    <mergeCell ref="D19:F19"/>
    <mergeCell ref="A19:C19"/>
  </mergeCells>
  <phoneticPr fontId="2" type="noConversion"/>
  <dataValidations count="2">
    <dataValidation type="list" allowBlank="1" showInputMessage="1" showErrorMessage="1" sqref="C4" xr:uid="{BE31D3FC-904D-4F7B-AF4E-BA3F5FA7053D}">
      <formula1>"光,储,光储,光储充,光充,储充"</formula1>
    </dataValidation>
    <dataValidation type="list" allowBlank="1" showInputMessage="1" showErrorMessage="1" sqref="F24" xr:uid="{5F5289E6-A371-4418-9528-F9BCCEEE7438}">
      <formula1>"线性衰减,指数衰减"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7461-E7F9-40D3-9918-A792BF76F483}">
  <dimension ref="D4:E19"/>
  <sheetViews>
    <sheetView workbookViewId="0">
      <selection activeCell="E19" sqref="E19"/>
    </sheetView>
  </sheetViews>
  <sheetFormatPr defaultRowHeight="14" x14ac:dyDescent="0.3"/>
  <sheetData>
    <row r="4" spans="4:5" x14ac:dyDescent="0.3">
      <c r="E4" t="s">
        <v>197</v>
      </c>
    </row>
    <row r="5" spans="4:5" x14ac:dyDescent="0.3">
      <c r="D5" s="51">
        <v>1</v>
      </c>
      <c r="E5">
        <v>0.93349611646034336</v>
      </c>
    </row>
    <row r="6" spans="4:5" x14ac:dyDescent="0.3">
      <c r="D6" s="51">
        <v>2</v>
      </c>
      <c r="E6">
        <v>0.90642109570582274</v>
      </c>
    </row>
    <row r="7" spans="4:5" x14ac:dyDescent="0.3">
      <c r="D7" s="51">
        <v>3</v>
      </c>
      <c r="E7">
        <v>0.88357213851956473</v>
      </c>
    </row>
    <row r="8" spans="4:5" x14ac:dyDescent="0.3">
      <c r="D8" s="51">
        <v>4</v>
      </c>
      <c r="E8">
        <v>0.86304747206223253</v>
      </c>
    </row>
    <row r="9" spans="4:5" x14ac:dyDescent="0.3">
      <c r="D9" s="51">
        <v>5</v>
      </c>
      <c r="E9">
        <v>0.84406810627187856</v>
      </c>
    </row>
    <row r="10" spans="4:5" x14ac:dyDescent="0.3">
      <c r="D10" s="51">
        <v>6</v>
      </c>
      <c r="E10">
        <v>0.82622194300642171</v>
      </c>
    </row>
    <row r="11" spans="4:5" x14ac:dyDescent="0.3">
      <c r="D11" s="51">
        <v>7</v>
      </c>
      <c r="E11">
        <v>0.80922940963999634</v>
      </c>
    </row>
    <row r="12" spans="4:5" x14ac:dyDescent="0.3">
      <c r="D12" s="51">
        <v>8</v>
      </c>
      <c r="E12">
        <v>0.79292439721944985</v>
      </c>
    </row>
    <row r="13" spans="4:5" x14ac:dyDescent="0.3">
      <c r="D13" s="51">
        <v>9</v>
      </c>
      <c r="E13">
        <v>0.77719170853935782</v>
      </c>
    </row>
    <row r="14" spans="4:5" x14ac:dyDescent="0.3">
      <c r="D14" s="51">
        <v>10</v>
      </c>
      <c r="E14">
        <v>0.76194481516811952</v>
      </c>
    </row>
    <row r="15" spans="4:5" x14ac:dyDescent="0.3">
      <c r="D15" s="51">
        <v>11</v>
      </c>
      <c r="E15">
        <v>0.7471170716883373</v>
      </c>
    </row>
    <row r="16" spans="4:5" x14ac:dyDescent="0.3">
      <c r="D16" s="51">
        <v>12</v>
      </c>
      <c r="E16">
        <v>0.73263935396259217</v>
      </c>
    </row>
    <row r="17" spans="4:5" x14ac:dyDescent="0.3">
      <c r="D17" s="51">
        <v>13</v>
      </c>
      <c r="E17">
        <v>0.71847046047665963</v>
      </c>
    </row>
    <row r="18" spans="4:5" x14ac:dyDescent="0.3">
      <c r="D18" s="51">
        <v>14</v>
      </c>
      <c r="E18">
        <v>0.70457647057484019</v>
      </c>
    </row>
    <row r="19" spans="4:5" x14ac:dyDescent="0.3">
      <c r="D19" s="51">
        <v>15</v>
      </c>
      <c r="E19">
        <v>0.69092982161183247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43E9-4CEB-4618-9DA7-53762C344F5D}">
  <dimension ref="A1:W55"/>
  <sheetViews>
    <sheetView zoomScale="84" zoomScaleNormal="100" workbookViewId="0">
      <selection activeCell="B5" sqref="B5"/>
    </sheetView>
  </sheetViews>
  <sheetFormatPr defaultRowHeight="14" x14ac:dyDescent="0.3"/>
  <cols>
    <col min="1" max="1" width="27.5" style="166" customWidth="1"/>
    <col min="2" max="22" width="11" style="55" customWidth="1"/>
    <col min="23" max="16384" width="8.6640625" style="55"/>
  </cols>
  <sheetData>
    <row r="1" spans="1:23" ht="31" customHeight="1" x14ac:dyDescent="0.3">
      <c r="A1" s="161" t="s">
        <v>227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4"/>
    </row>
    <row r="3" spans="1:23" ht="14.5" customHeight="1" x14ac:dyDescent="0.3">
      <c r="A3" s="162" t="s">
        <v>228</v>
      </c>
      <c r="B3" s="56" t="s">
        <v>229</v>
      </c>
      <c r="C3" s="56">
        <v>1</v>
      </c>
      <c r="D3" s="56">
        <v>2</v>
      </c>
      <c r="E3" s="56">
        <v>3</v>
      </c>
      <c r="F3" s="56">
        <v>4</v>
      </c>
      <c r="G3" s="56">
        <v>5</v>
      </c>
      <c r="H3" s="56">
        <v>6</v>
      </c>
      <c r="I3" s="56">
        <v>7</v>
      </c>
      <c r="J3" s="56">
        <v>8</v>
      </c>
      <c r="K3" s="56">
        <v>9</v>
      </c>
      <c r="L3" s="56">
        <v>10</v>
      </c>
    </row>
    <row r="4" spans="1:23" s="134" customFormat="1" ht="14.5" x14ac:dyDescent="0.4">
      <c r="A4" s="163"/>
    </row>
    <row r="5" spans="1:23" s="134" customFormat="1" ht="14.5" customHeight="1" x14ac:dyDescent="0.4">
      <c r="A5" s="57" t="s">
        <v>286</v>
      </c>
      <c r="B5" s="58"/>
      <c r="C5" s="58">
        <f>输入!C23/(1+输入!$B$22)+输入!C27/(1+输入!$B$26)+输入!C31/(1+输入!$B$30)+输入!C35/(1+输入!$B$34)</f>
        <v>59.469026548672574</v>
      </c>
      <c r="D5" s="58">
        <f>IF(D$3&gt;输入!$C$9,0,C5)</f>
        <v>59.469026548672574</v>
      </c>
      <c r="E5" s="58">
        <f>IF(E$3&gt;输入!$C$9,0,D5)</f>
        <v>59.469026548672574</v>
      </c>
      <c r="F5" s="58">
        <f>IF(F$3&gt;输入!$C$9,0,E5)</f>
        <v>59.469026548672574</v>
      </c>
      <c r="G5" s="58">
        <f>IF(G$3&gt;输入!$C$9,0,F5)</f>
        <v>59.469026548672574</v>
      </c>
      <c r="H5" s="58">
        <f>IF(H$3&gt;输入!$C$9,0,G5)</f>
        <v>59.469026548672574</v>
      </c>
      <c r="I5" s="58">
        <f>IF(I$3&gt;输入!$C$9,0,H5)</f>
        <v>59.469026548672574</v>
      </c>
      <c r="J5" s="58">
        <f>IF(J$3&gt;输入!$C$9,0,I5)</f>
        <v>59.469026548672574</v>
      </c>
      <c r="K5" s="58">
        <f>IF(K$3&gt;输入!$C$9,0,J5)</f>
        <v>0</v>
      </c>
      <c r="L5" s="58">
        <f>IF(L$3&gt;输入!$C$9,0,K5)</f>
        <v>0</v>
      </c>
    </row>
    <row r="6" spans="1:23" s="134" customFormat="1" ht="14.5" customHeight="1" x14ac:dyDescent="0.4">
      <c r="A6" s="57" t="s">
        <v>287</v>
      </c>
      <c r="B6" s="58"/>
      <c r="C6" s="58">
        <f>C$25*输入!$F$29/10000*输入!$F$31/(1+输入!$E$29)</f>
        <v>10.603267716726792</v>
      </c>
      <c r="D6" s="58">
        <f>IF(D$3&gt;输入!$C$9,0,D$25*输入!$F$29/10000*输入!$F$31/(1+输入!$E$29))</f>
        <v>10.295731682635203</v>
      </c>
      <c r="E6" s="58">
        <f>IF(E$3&gt;输入!$C$9,0,E$25*输入!$F$29/10000*输入!$F$31/(1+输入!$E$29))</f>
        <v>10.036198080061062</v>
      </c>
      <c r="F6" s="58">
        <f>IF(F$3&gt;输入!$C$9,0,F$25*输入!$F$29/10000*输入!$F$31/(1+输入!$E$29))</f>
        <v>9.8030653123867548</v>
      </c>
      <c r="G6" s="58">
        <f>IF(G$3&gt;输入!$C$9,0,G$25*输入!$F$29/10000*输入!$F$31/(1+输入!$E$29))</f>
        <v>9.5874850940866647</v>
      </c>
      <c r="H6" s="58">
        <f>IF(H$3&gt;输入!$C$9,0,H$25*输入!$F$29/10000*输入!$F$31/(1+输入!$E$29))</f>
        <v>9.3847765412781392</v>
      </c>
      <c r="I6" s="58">
        <f>IF(I$3&gt;输入!$C$9,0,I$25*输入!$F$29/10000*输入!$F$31/(1+输入!$E$29))</f>
        <v>9.1917640827444949</v>
      </c>
      <c r="J6" s="58">
        <f>IF(J$3&gt;输入!$C$9,0,J$25*输入!$F$29/10000*输入!$F$31/(1+输入!$E$29))</f>
        <v>9.0065609428801672</v>
      </c>
      <c r="K6" s="58">
        <f>IF(K$3&gt;输入!$C$9,0,K$25*输入!$F$29/10000*输入!$F$31/(1+输入!$E$29))</f>
        <v>0</v>
      </c>
      <c r="L6" s="58">
        <f>IF(L$3&gt;输入!$C$9,0,L$25*输入!$F$29/10000*输入!$F$31/(1+输入!$E$29))</f>
        <v>0</v>
      </c>
    </row>
    <row r="7" spans="1:23" s="134" customFormat="1" ht="14.5" customHeight="1" x14ac:dyDescent="0.4">
      <c r="A7" s="57" t="s">
        <v>288</v>
      </c>
      <c r="B7" s="58"/>
      <c r="C7" s="58">
        <f>C$24*输入!$F$29/10000*(1-输入!$F$31)/(1+输入!$K$21)</f>
        <v>0</v>
      </c>
      <c r="D7" s="58">
        <f>IF(D$3&gt;输入!$C$9,0,D$24*输入!$F$29/10000*(1-输入!$F$31)/(1+输入!$K$21))</f>
        <v>0</v>
      </c>
      <c r="E7" s="58">
        <f>IF(E$3&gt;输入!$C$9,0,E$24*输入!$F$29/10000*(1-输入!$F$31)/(1+输入!$K$21))</f>
        <v>0</v>
      </c>
      <c r="F7" s="58">
        <f>IF(F$3&gt;输入!$C$9,0,F$24*输入!$F$29/10000*(1-输入!$F$31)/(1+输入!$K$21))</f>
        <v>0</v>
      </c>
      <c r="G7" s="58">
        <f>IF(G$3&gt;输入!$C$9,0,G$24*输入!$F$29/10000*(1-输入!$F$31)/(1+输入!$K$21))</f>
        <v>0</v>
      </c>
      <c r="H7" s="58">
        <f>IF(H$3&gt;输入!$C$9,0,H$24*输入!$F$29/10000*(1-输入!$F$31)/(1+输入!$K$21))</f>
        <v>0</v>
      </c>
      <c r="I7" s="58">
        <f>IF(I$3&gt;输入!$C$9,0,I$24*输入!$F$29/10000*(1-输入!$F$31)/(1+输入!$K$21))</f>
        <v>0</v>
      </c>
      <c r="J7" s="58">
        <f>IF(J$3&gt;输入!$C$9,0,J$24*输入!$F$29/10000*(1-输入!$F$31)/(1+输入!$K$21))</f>
        <v>0</v>
      </c>
      <c r="K7" s="58">
        <f>IF(K$3&gt;输入!$C$9,0,K$24*输入!$F$29/10000*(1-输入!$F$31)/(1+输入!$K$21))</f>
        <v>0</v>
      </c>
      <c r="L7" s="58">
        <f>IF(L$3&gt;输入!$C$9,0,L$24*输入!$F$29/10000*(1-输入!$F$31)/(1+输入!$K$21))</f>
        <v>0</v>
      </c>
    </row>
    <row r="8" spans="1:23" s="134" customFormat="1" ht="14.5" customHeight="1" x14ac:dyDescent="0.4">
      <c r="A8" s="57" t="s">
        <v>277</v>
      </c>
      <c r="B8" s="58"/>
      <c r="C8" s="58">
        <f>输入!$I$23/(1+输入!$H$22)</f>
        <v>3.9646017699115053</v>
      </c>
      <c r="D8" s="58">
        <f>IF(D$3&gt;输入!$C$9,0,输入!$I$23/(1+输入!$H$22))</f>
        <v>3.9646017699115053</v>
      </c>
      <c r="E8" s="58">
        <f>IF(E$3&gt;输入!$C$9,0,输入!$I$23/(1+输入!$H$22))</f>
        <v>3.9646017699115053</v>
      </c>
      <c r="F8" s="58">
        <f>IF(F$3&gt;输入!$C$9,0,输入!$I$23/(1+输入!$H$22))</f>
        <v>3.9646017699115053</v>
      </c>
      <c r="G8" s="58">
        <f>IF(G$3&gt;输入!$C$9,0,输入!$I$23/(1+输入!$H$22))</f>
        <v>3.9646017699115053</v>
      </c>
      <c r="H8" s="58">
        <f>IF(H$3&gt;输入!$C$9,0,输入!$I$23/(1+输入!$H$22))</f>
        <v>3.9646017699115053</v>
      </c>
      <c r="I8" s="58">
        <f>IF(I$3&gt;输入!$C$9,0,输入!$I$23/(1+输入!$H$22))</f>
        <v>3.9646017699115053</v>
      </c>
      <c r="J8" s="58">
        <f>IF(J$3&gt;输入!$C$9,0,输入!$I$23/(1+输入!$H$22))</f>
        <v>3.9646017699115053</v>
      </c>
      <c r="K8" s="58">
        <f>IF(K$3&gt;输入!$C$9,0,输入!$I$23/(1+输入!$H$22))</f>
        <v>0</v>
      </c>
      <c r="L8" s="58">
        <f>IF(L$3&gt;输入!$C$9,0,输入!$I$23/(1+输入!$H$22))</f>
        <v>0</v>
      </c>
    </row>
    <row r="9" spans="1:23" s="134" customFormat="1" ht="14.5" customHeight="1" x14ac:dyDescent="0.4">
      <c r="A9" s="57" t="s">
        <v>279</v>
      </c>
      <c r="B9" s="58"/>
      <c r="C9" s="58">
        <f>输入!$O$23/(1+输入!$N$21)</f>
        <v>1.7699115044247791E-2</v>
      </c>
      <c r="D9" s="58">
        <f>IF(D$3&gt;输入!$C$9,0,输入!$O$23/(1+输入!$N$21))</f>
        <v>1.7699115044247791E-2</v>
      </c>
      <c r="E9" s="58">
        <f>IF(E$3&gt;输入!$C$9,0,输入!$O$23/(1+输入!$N$21))</f>
        <v>1.7699115044247791E-2</v>
      </c>
      <c r="F9" s="58">
        <f>IF(F$3&gt;输入!$C$9,0,输入!$O$23/(1+输入!$N$21))</f>
        <v>1.7699115044247791E-2</v>
      </c>
      <c r="G9" s="58">
        <f>IF(G$3&gt;输入!$C$9,0,输入!$O$23/(1+输入!$N$21))</f>
        <v>1.7699115044247791E-2</v>
      </c>
      <c r="H9" s="58">
        <f>IF(H$3&gt;输入!$C$9,0,输入!$O$23/(1+输入!$N$21))</f>
        <v>1.7699115044247791E-2</v>
      </c>
      <c r="I9" s="58">
        <f>IF(I$3&gt;输入!$C$9,0,输入!$O$23/(1+输入!$N$21))</f>
        <v>1.7699115044247791E-2</v>
      </c>
      <c r="J9" s="58">
        <f>IF(J$3&gt;输入!$C$9,0,输入!$O$23/(1+输入!$N$21))</f>
        <v>1.7699115044247791E-2</v>
      </c>
      <c r="K9" s="58">
        <f>IF(K$3&gt;输入!$C$9,0,输入!$O$23/(1+输入!$N$21))</f>
        <v>0</v>
      </c>
      <c r="L9" s="58">
        <f>IF(L$3&gt;输入!$C$9,0,输入!$O$23/(1+输入!$N$21))</f>
        <v>0</v>
      </c>
    </row>
    <row r="10" spans="1:23" s="134" customFormat="1" ht="14.5" customHeight="1" x14ac:dyDescent="0.4">
      <c r="A10" s="162" t="s">
        <v>289</v>
      </c>
      <c r="B10" s="59"/>
      <c r="C10" s="59">
        <f>SUM(C5:C9)</f>
        <v>74.054595150355127</v>
      </c>
      <c r="D10" s="59">
        <f t="shared" ref="D10:L10" si="0">SUM(D5:D9)</f>
        <v>73.747059116263543</v>
      </c>
      <c r="E10" s="59">
        <f t="shared" si="0"/>
        <v>73.487525513689391</v>
      </c>
      <c r="F10" s="59">
        <f t="shared" si="0"/>
        <v>73.254392746015085</v>
      </c>
      <c r="G10" s="59">
        <f t="shared" si="0"/>
        <v>73.038812527714995</v>
      </c>
      <c r="H10" s="59">
        <f t="shared" si="0"/>
        <v>72.836103974906479</v>
      </c>
      <c r="I10" s="59">
        <f t="shared" si="0"/>
        <v>72.643091516372834</v>
      </c>
      <c r="J10" s="59">
        <f t="shared" si="0"/>
        <v>72.457888376508507</v>
      </c>
      <c r="K10" s="59">
        <f t="shared" si="0"/>
        <v>0</v>
      </c>
      <c r="L10" s="59">
        <f t="shared" si="0"/>
        <v>0</v>
      </c>
    </row>
    <row r="11" spans="1:23" s="134" customFormat="1" ht="14.5" x14ac:dyDescent="0.4">
      <c r="A11" s="163"/>
      <c r="C11" s="224"/>
      <c r="D11" s="225"/>
    </row>
    <row r="12" spans="1:23" s="134" customFormat="1" ht="14.5" x14ac:dyDescent="0.4">
      <c r="A12" s="163" t="s">
        <v>290</v>
      </c>
      <c r="C12" s="58">
        <f>C$24*输入!$F$30/10000/(1+输入!$E$30)</f>
        <v>6.0245839299584052</v>
      </c>
      <c r="D12" s="58">
        <f>IF(D$3&gt;输入!$C$9,0,D$24*输入!$F$30/10000/(1+输入!$E$30))</f>
        <v>5.8498475469518185</v>
      </c>
      <c r="E12" s="58">
        <f>IF(E$3&gt;输入!$C$9,0,E$24*输入!$F$30/10000/(1+输入!$E$30))</f>
        <v>5.7023852727619655</v>
      </c>
      <c r="F12" s="58">
        <f>IF(F$3&gt;输入!$C$9,0,F$24*输入!$F$30/10000/(1+输入!$E$30))</f>
        <v>5.5699234729470195</v>
      </c>
      <c r="G12" s="58">
        <f>IF(G$3&gt;输入!$C$9,0,G$24*输入!$F$30/10000/(1+输入!$E$30))</f>
        <v>5.4474347125492404</v>
      </c>
      <c r="H12" s="58">
        <f>IF(H$3&gt;输入!$C$9,0,H$24*输入!$F$30/10000/(1+输入!$E$30))</f>
        <v>5.3322593984534876</v>
      </c>
      <c r="I12" s="58">
        <f>IF(I$3&gt;输入!$C$9,0,I$24*输入!$F$30/10000/(1+输入!$E$30))</f>
        <v>5.222593228832098</v>
      </c>
      <c r="J12" s="58">
        <f>IF(J$3&gt;输入!$C$9,0,J$24*输入!$F$30/10000/(1+输入!$E$30))</f>
        <v>5.1173641720910048</v>
      </c>
      <c r="K12" s="58">
        <f>IF(K$3&gt;输入!$C$9,0,K$24*输入!$F$30/10000/(1+输入!$E$30))</f>
        <v>0</v>
      </c>
      <c r="L12" s="58">
        <f>IF(L$3&gt;输入!$C$9,0,L$24*输入!$F$30/10000/(1+输入!$E$30))</f>
        <v>0</v>
      </c>
    </row>
    <row r="13" spans="1:23" s="134" customFormat="1" ht="14.5" customHeight="1" x14ac:dyDescent="0.4">
      <c r="A13" s="57" t="s">
        <v>291</v>
      </c>
      <c r="B13" s="58"/>
      <c r="C13" s="58">
        <f>IF(C$3&lt;=输入!$C$17,输入!$O$17/输入!$C$17*(1-输入!$C$18),0)</f>
        <v>40.69581024692058</v>
      </c>
      <c r="D13" s="58">
        <f>IF(D$3&gt;输入!$C$9,0,输入!$O$17/输入!$C$17*(1-输入!$C$18))</f>
        <v>40.69581024692058</v>
      </c>
      <c r="E13" s="58">
        <f>IF(E$3&gt;输入!$C$9,0,输入!$O$17/输入!$C$17*(1-输入!$C$18))</f>
        <v>40.69581024692058</v>
      </c>
      <c r="F13" s="58">
        <f>IF(F$3&gt;输入!$C$9,0,输入!$O$17/输入!$C$17*(1-输入!$C$18))</f>
        <v>40.69581024692058</v>
      </c>
      <c r="G13" s="58">
        <f>IF(G$3&gt;输入!$C$9,0,输入!$O$17/输入!$C$17*(1-输入!$C$18))</f>
        <v>40.69581024692058</v>
      </c>
      <c r="H13" s="58">
        <f>IF(H$3&gt;输入!$C$9,0,输入!$O$17/输入!$C$17*(1-输入!$C$18))</f>
        <v>40.69581024692058</v>
      </c>
      <c r="I13" s="58">
        <f>IF(I$3&gt;输入!$C$9,0,输入!$O$17/输入!$C$17*(1-输入!$C$18))</f>
        <v>40.69581024692058</v>
      </c>
      <c r="J13" s="58">
        <f>IF(J$3&gt;输入!$C$9,0,输入!$O$17/输入!$C$17*(1-输入!$C$18))</f>
        <v>40.69581024692058</v>
      </c>
      <c r="K13" s="58">
        <f>IF(K$3&gt;输入!$C$9,0,输入!$O$17/输入!$C$17*(1-输入!$C$18))</f>
        <v>0</v>
      </c>
      <c r="L13" s="58">
        <f>IF(L$3&gt;输入!$C$9,0,输入!$O$17/输入!$C$17*(1-输入!$C$18))</f>
        <v>0</v>
      </c>
    </row>
    <row r="14" spans="1:23" s="134" customFormat="1" ht="14.5" customHeight="1" x14ac:dyDescent="0.4">
      <c r="A14" s="57" t="s">
        <v>292</v>
      </c>
      <c r="B14" s="58"/>
      <c r="C14" s="217">
        <f>C29</f>
        <v>14.594472587462983</v>
      </c>
      <c r="D14" s="217">
        <f>IF(D$3&gt;输入!$C$9,0,D29)</f>
        <v>14.876548480987076</v>
      </c>
      <c r="E14" s="217">
        <f>IF(E$3&gt;输入!$C$9,0,E29)</f>
        <v>15.171532697489258</v>
      </c>
      <c r="F14" s="217">
        <f>IF(F$3&gt;输入!$C$9,0,F29)</f>
        <v>15.480058698401459</v>
      </c>
      <c r="G14" s="217">
        <f>IF(G$3&gt;输入!$C$9,0,G29)</f>
        <v>15.802791498680023</v>
      </c>
      <c r="H14" s="217">
        <f>IF(H$3&gt;输入!$C$9,0,H29)</f>
        <v>16.140429243286476</v>
      </c>
      <c r="I14" s="217">
        <f>IF(I$3&gt;输入!$C$9,0,I29)</f>
        <v>16.493704862480357</v>
      </c>
      <c r="J14" s="217">
        <f>IF(J$3&gt;输入!$C$9,0,J29)</f>
        <v>16.863387809864602</v>
      </c>
      <c r="K14" s="217">
        <f>IF(K$3&gt;输入!$C$9,0,K29)</f>
        <v>0</v>
      </c>
      <c r="L14" s="217">
        <f>IF(L$3&gt;输入!$C$9,0,L29)</f>
        <v>0</v>
      </c>
    </row>
    <row r="15" spans="1:23" s="134" customFormat="1" ht="14.5" customHeight="1" x14ac:dyDescent="0.4">
      <c r="A15" s="57" t="s">
        <v>293</v>
      </c>
      <c r="B15" s="58"/>
      <c r="C15" s="58">
        <f>税务计算!C28</f>
        <v>0</v>
      </c>
      <c r="D15" s="58">
        <f>税务计算!D28</f>
        <v>0</v>
      </c>
      <c r="E15" s="58">
        <f>税务计算!E28</f>
        <v>0</v>
      </c>
      <c r="F15" s="58">
        <f>税务计算!F28</f>
        <v>0</v>
      </c>
      <c r="G15" s="58">
        <f>税务计算!G28</f>
        <v>0.64087681023985732</v>
      </c>
      <c r="H15" s="58">
        <f>税务计算!H28</f>
        <v>0.897910227169046</v>
      </c>
      <c r="I15" s="58">
        <f>税务计算!I28</f>
        <v>0.89151412593136359</v>
      </c>
      <c r="J15" s="58">
        <f>税务计算!J28</f>
        <v>0.88491882878950778</v>
      </c>
      <c r="K15" s="58">
        <f>税务计算!K28</f>
        <v>0</v>
      </c>
      <c r="L15" s="58">
        <f>税务计算!L28</f>
        <v>0</v>
      </c>
    </row>
    <row r="16" spans="1:23" s="134" customFormat="1" ht="14.5" customHeight="1" x14ac:dyDescent="0.4">
      <c r="A16" s="162" t="s">
        <v>294</v>
      </c>
      <c r="B16" s="59"/>
      <c r="C16" s="59">
        <f>C13+C14+C15+C12</f>
        <v>61.314866764341964</v>
      </c>
      <c r="D16" s="59">
        <f t="shared" ref="D16:L16" si="1">D13+D14+D15+D12</f>
        <v>61.422206274859477</v>
      </c>
      <c r="E16" s="59">
        <f t="shared" si="1"/>
        <v>61.569728217171807</v>
      </c>
      <c r="F16" s="59">
        <f t="shared" si="1"/>
        <v>61.745792418269055</v>
      </c>
      <c r="G16" s="59">
        <f t="shared" si="1"/>
        <v>62.586913268389701</v>
      </c>
      <c r="H16" s="59">
        <f t="shared" si="1"/>
        <v>63.066409115829593</v>
      </c>
      <c r="I16" s="59">
        <f t="shared" si="1"/>
        <v>63.303622464164398</v>
      </c>
      <c r="J16" s="59">
        <f t="shared" si="1"/>
        <v>63.561481057665688</v>
      </c>
      <c r="K16" s="59">
        <f t="shared" si="1"/>
        <v>0</v>
      </c>
      <c r="L16" s="59">
        <f t="shared" si="1"/>
        <v>0</v>
      </c>
    </row>
    <row r="17" spans="1:12" s="134" customFormat="1" ht="14.5" x14ac:dyDescent="0.4">
      <c r="A17" s="163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</row>
    <row r="18" spans="1:12" s="134" customFormat="1" ht="14.5" customHeight="1" x14ac:dyDescent="0.4">
      <c r="A18" s="164" t="s">
        <v>230</v>
      </c>
      <c r="B18" s="58"/>
      <c r="C18" s="58">
        <f t="shared" ref="C18:L18" si="2">C10-C16</f>
        <v>12.739728386013162</v>
      </c>
      <c r="D18" s="58">
        <f t="shared" si="2"/>
        <v>12.324852841404066</v>
      </c>
      <c r="E18" s="58">
        <f t="shared" si="2"/>
        <v>11.917797296517584</v>
      </c>
      <c r="F18" s="58">
        <f t="shared" si="2"/>
        <v>11.508600327746031</v>
      </c>
      <c r="G18" s="58">
        <f t="shared" si="2"/>
        <v>10.451899259325295</v>
      </c>
      <c r="H18" s="58">
        <f t="shared" si="2"/>
        <v>9.7696948590768855</v>
      </c>
      <c r="I18" s="58">
        <f t="shared" si="2"/>
        <v>9.339469052208436</v>
      </c>
      <c r="J18" s="58">
        <f t="shared" si="2"/>
        <v>8.8964073188428188</v>
      </c>
      <c r="K18" s="58">
        <f t="shared" si="2"/>
        <v>0</v>
      </c>
      <c r="L18" s="58">
        <f t="shared" si="2"/>
        <v>0</v>
      </c>
    </row>
    <row r="19" spans="1:12" s="134" customFormat="1" ht="14.5" customHeight="1" x14ac:dyDescent="0.4">
      <c r="A19" s="165" t="s">
        <v>231</v>
      </c>
      <c r="B19" s="58"/>
      <c r="C19" s="58">
        <f>税务计算!C40</f>
        <v>0</v>
      </c>
      <c r="D19" s="58">
        <f>税务计算!D40</f>
        <v>0</v>
      </c>
      <c r="E19" s="58">
        <f>税务计算!E40</f>
        <v>0</v>
      </c>
      <c r="F19" s="58">
        <f>税务计算!F40</f>
        <v>1.4385750409682538</v>
      </c>
      <c r="G19" s="58">
        <f>税务计算!G40</f>
        <v>1.3064874074156618</v>
      </c>
      <c r="H19" s="58">
        <f>税务计算!H40</f>
        <v>1.2212118573846107</v>
      </c>
      <c r="I19" s="58">
        <f>税务计算!I40</f>
        <v>2.334867263052109</v>
      </c>
      <c r="J19" s="58">
        <f>税务计算!J40</f>
        <v>2.2241018297107047</v>
      </c>
      <c r="K19" s="58">
        <f>税务计算!K40</f>
        <v>0</v>
      </c>
      <c r="L19" s="58">
        <f>税务计算!L40</f>
        <v>0</v>
      </c>
    </row>
    <row r="20" spans="1:12" s="134" customFormat="1" ht="14.5" customHeight="1" x14ac:dyDescent="0.4">
      <c r="A20" s="161" t="s">
        <v>232</v>
      </c>
      <c r="B20" s="62"/>
      <c r="C20" s="62">
        <f t="shared" ref="C20:L20" si="3">C18-C19</f>
        <v>12.739728386013162</v>
      </c>
      <c r="D20" s="62">
        <f t="shared" si="3"/>
        <v>12.324852841404066</v>
      </c>
      <c r="E20" s="62">
        <f t="shared" si="3"/>
        <v>11.917797296517584</v>
      </c>
      <c r="F20" s="62">
        <f t="shared" si="3"/>
        <v>10.070025286777778</v>
      </c>
      <c r="G20" s="62">
        <f t="shared" si="3"/>
        <v>9.1454118519096319</v>
      </c>
      <c r="H20" s="62">
        <f t="shared" si="3"/>
        <v>8.5484830016922757</v>
      </c>
      <c r="I20" s="62">
        <f t="shared" si="3"/>
        <v>7.004601789156327</v>
      </c>
      <c r="J20" s="62">
        <f t="shared" si="3"/>
        <v>6.6723054891321141</v>
      </c>
      <c r="K20" s="62">
        <f t="shared" si="3"/>
        <v>0</v>
      </c>
      <c r="L20" s="62">
        <f t="shared" si="3"/>
        <v>0</v>
      </c>
    </row>
    <row r="21" spans="1:12" s="134" customFormat="1" ht="14.5" x14ac:dyDescent="0.4">
      <c r="A21" s="163"/>
    </row>
    <row r="22" spans="1:12" s="134" customFormat="1" ht="14.5" x14ac:dyDescent="0.4">
      <c r="A22" s="163"/>
    </row>
    <row r="23" spans="1:12" s="134" customFormat="1" ht="14.5" x14ac:dyDescent="0.4">
      <c r="A23" s="215" t="s">
        <v>320</v>
      </c>
    </row>
    <row r="24" spans="1:12" s="136" customFormat="1" ht="14.5" customHeight="1" x14ac:dyDescent="0.4">
      <c r="A24" s="132" t="s">
        <v>274</v>
      </c>
      <c r="B24" s="133"/>
      <c r="C24" s="218">
        <f>输入!$F$27*输入!$C$15</f>
        <v>194507.99545294276</v>
      </c>
      <c r="D24" s="218">
        <f>C24/C$26*D$26</f>
        <v>188866.50651587298</v>
      </c>
      <c r="E24" s="218">
        <f t="shared" ref="E24:L24" si="4">D24/D$26*E$26</f>
        <v>184105.58166345776</v>
      </c>
      <c r="F24" s="218">
        <f t="shared" si="4"/>
        <v>179828.95784086091</v>
      </c>
      <c r="G24" s="218">
        <f t="shared" si="4"/>
        <v>175874.3207194469</v>
      </c>
      <c r="H24" s="218">
        <f t="shared" si="4"/>
        <v>172155.80343578404</v>
      </c>
      <c r="I24" s="218">
        <f t="shared" si="4"/>
        <v>168615.15281657918</v>
      </c>
      <c r="J24" s="218">
        <f t="shared" si="4"/>
        <v>165217.75755608099</v>
      </c>
      <c r="K24" s="218">
        <f t="shared" si="4"/>
        <v>161939.61457906102</v>
      </c>
      <c r="L24" s="218">
        <f t="shared" si="4"/>
        <v>158762.6943817178</v>
      </c>
    </row>
    <row r="25" spans="1:12" s="136" customFormat="1" ht="14.5" customHeight="1" x14ac:dyDescent="0.4">
      <c r="A25" s="132" t="s">
        <v>201</v>
      </c>
      <c r="B25" s="133"/>
      <c r="C25" s="218">
        <f>输入!$F$28*输入!$C$15</f>
        <v>155606.39636235422</v>
      </c>
      <c r="D25" s="218">
        <f>C25/C$26*D$26</f>
        <v>151093.20521269841</v>
      </c>
      <c r="E25" s="218">
        <f t="shared" ref="E25:L25" si="5">D25/D$26*E$26</f>
        <v>147284.46533076622</v>
      </c>
      <c r="F25" s="218">
        <f t="shared" si="5"/>
        <v>143863.16627268874</v>
      </c>
      <c r="G25" s="218">
        <f t="shared" si="5"/>
        <v>140699.45657555753</v>
      </c>
      <c r="H25" s="218">
        <f t="shared" si="5"/>
        <v>137724.64274862723</v>
      </c>
      <c r="I25" s="218">
        <f t="shared" si="5"/>
        <v>134892.12225326334</v>
      </c>
      <c r="J25" s="218">
        <f t="shared" si="5"/>
        <v>132174.20604486478</v>
      </c>
      <c r="K25" s="218">
        <f t="shared" si="5"/>
        <v>129551.6916632488</v>
      </c>
      <c r="L25" s="218">
        <f t="shared" si="5"/>
        <v>127010.15550537423</v>
      </c>
    </row>
    <row r="26" spans="1:12" s="134" customFormat="1" ht="14.5" x14ac:dyDescent="0.4">
      <c r="A26" s="163" t="s">
        <v>275</v>
      </c>
      <c r="C26" s="137">
        <f t="array" ref="C26:L26">TRANSPOSE(储能SOH!E5:E19)</f>
        <v>0.93349611646034336</v>
      </c>
      <c r="D26" s="137">
        <v>0.90642109570582274</v>
      </c>
      <c r="E26" s="137">
        <v>0.88357213851956473</v>
      </c>
      <c r="F26" s="137">
        <v>0.86304747206223253</v>
      </c>
      <c r="G26" s="137">
        <v>0.84406810627187856</v>
      </c>
      <c r="H26" s="137">
        <v>0.82622194300642171</v>
      </c>
      <c r="I26" s="137">
        <v>0.80922940963999634</v>
      </c>
      <c r="J26" s="137">
        <v>0.79292439721944985</v>
      </c>
      <c r="K26" s="137">
        <v>0.77719170853935782</v>
      </c>
      <c r="L26" s="137">
        <v>0.76194481516811952</v>
      </c>
    </row>
    <row r="28" spans="1:12" ht="15" x14ac:dyDescent="0.4">
      <c r="A28" s="215" t="s">
        <v>321</v>
      </c>
    </row>
    <row r="29" spans="1:12" s="66" customFormat="1" ht="15" x14ac:dyDescent="0.4">
      <c r="A29" s="215" t="s">
        <v>322</v>
      </c>
      <c r="C29" s="65">
        <f>SUM(C30:C41)</f>
        <v>14.594472587462983</v>
      </c>
      <c r="D29" s="65">
        <f t="shared" ref="D29:L29" si="6">SUM(D30:D41)</f>
        <v>14.876548480987076</v>
      </c>
      <c r="E29" s="65">
        <f t="shared" si="6"/>
        <v>15.171532697489258</v>
      </c>
      <c r="F29" s="65">
        <f t="shared" si="6"/>
        <v>15.480058698401459</v>
      </c>
      <c r="G29" s="65">
        <f t="shared" si="6"/>
        <v>15.802791498680023</v>
      </c>
      <c r="H29" s="65">
        <f t="shared" si="6"/>
        <v>16.140429243286476</v>
      </c>
      <c r="I29" s="65">
        <f t="shared" si="6"/>
        <v>16.493704862480357</v>
      </c>
      <c r="J29" s="65">
        <f t="shared" si="6"/>
        <v>16.863387809864602</v>
      </c>
      <c r="K29" s="65">
        <f t="shared" si="6"/>
        <v>17.250285887321041</v>
      </c>
      <c r="L29" s="65">
        <f t="shared" si="6"/>
        <v>17.655247161180309</v>
      </c>
    </row>
    <row r="30" spans="1:12" s="134" customFormat="1" ht="14.5" customHeight="1" x14ac:dyDescent="0.4">
      <c r="A30" s="57" t="s">
        <v>209</v>
      </c>
      <c r="B30" s="58"/>
      <c r="C30" s="58">
        <f>输入!C$38/(1+输入!$B$38)</f>
        <v>0.660377358490566</v>
      </c>
      <c r="D30" s="58">
        <f>C30</f>
        <v>0.660377358490566</v>
      </c>
      <c r="E30" s="58">
        <f t="shared" ref="E30:L30" si="7">D30</f>
        <v>0.660377358490566</v>
      </c>
      <c r="F30" s="58">
        <f t="shared" si="7"/>
        <v>0.660377358490566</v>
      </c>
      <c r="G30" s="58">
        <f t="shared" si="7"/>
        <v>0.660377358490566</v>
      </c>
      <c r="H30" s="58">
        <f t="shared" si="7"/>
        <v>0.660377358490566</v>
      </c>
      <c r="I30" s="58">
        <f t="shared" si="7"/>
        <v>0.660377358490566</v>
      </c>
      <c r="J30" s="58">
        <f t="shared" si="7"/>
        <v>0.660377358490566</v>
      </c>
      <c r="K30" s="58">
        <f t="shared" si="7"/>
        <v>0.660377358490566</v>
      </c>
      <c r="L30" s="58">
        <f t="shared" si="7"/>
        <v>0.660377358490566</v>
      </c>
    </row>
    <row r="31" spans="1:12" s="134" customFormat="1" ht="14.5" customHeight="1" x14ac:dyDescent="0.4">
      <c r="A31" s="57" t="s">
        <v>210</v>
      </c>
      <c r="B31" s="58"/>
      <c r="C31" s="58">
        <f>输入!$C$39/(1+输入!$B$39)</f>
        <v>2.8301886792452828</v>
      </c>
      <c r="D31" s="58">
        <f t="shared" ref="D31:D33" si="8">C31</f>
        <v>2.8301886792452828</v>
      </c>
      <c r="E31" s="58">
        <f t="shared" ref="E31:L31" si="9">D31</f>
        <v>2.8301886792452828</v>
      </c>
      <c r="F31" s="58">
        <f t="shared" si="9"/>
        <v>2.8301886792452828</v>
      </c>
      <c r="G31" s="58">
        <f t="shared" si="9"/>
        <v>2.8301886792452828</v>
      </c>
      <c r="H31" s="58">
        <f t="shared" si="9"/>
        <v>2.8301886792452828</v>
      </c>
      <c r="I31" s="58">
        <f t="shared" si="9"/>
        <v>2.8301886792452828</v>
      </c>
      <c r="J31" s="58">
        <f t="shared" si="9"/>
        <v>2.8301886792452828</v>
      </c>
      <c r="K31" s="58">
        <f t="shared" si="9"/>
        <v>2.8301886792452828</v>
      </c>
      <c r="L31" s="58">
        <f t="shared" si="9"/>
        <v>2.8301886792452828</v>
      </c>
    </row>
    <row r="32" spans="1:12" s="134" customFormat="1" ht="14.5" customHeight="1" x14ac:dyDescent="0.4">
      <c r="A32" s="57" t="s">
        <v>211</v>
      </c>
      <c r="B32" s="58"/>
      <c r="C32" s="58">
        <f>输入!$C$41/(1+输入!$B$41)</f>
        <v>2</v>
      </c>
      <c r="D32" s="58">
        <f>C32*(1+输入!$C$40)</f>
        <v>2.02</v>
      </c>
      <c r="E32" s="58">
        <f>D32*(1+输入!$C$40)</f>
        <v>2.0402</v>
      </c>
      <c r="F32" s="58">
        <f>E32*(1+输入!$C$40)</f>
        <v>2.0606019999999998</v>
      </c>
      <c r="G32" s="58">
        <f>F32*(1+输入!$C$40)</f>
        <v>2.08120802</v>
      </c>
      <c r="H32" s="58">
        <f>G32*(1+输入!$C$40)</f>
        <v>2.1020201001999999</v>
      </c>
      <c r="I32" s="58">
        <f>H32*(1+输入!$C$40)</f>
        <v>2.1230403012019998</v>
      </c>
      <c r="J32" s="58">
        <f>I32*(1+输入!$C$40)</f>
        <v>2.1442707042140197</v>
      </c>
      <c r="K32" s="58">
        <f>J32*(1+输入!$C$40)</f>
        <v>2.16571341125616</v>
      </c>
      <c r="L32" s="58">
        <f>K32*(1+输入!$C$40)</f>
        <v>2.1873705453687218</v>
      </c>
    </row>
    <row r="33" spans="1:12" s="134" customFormat="1" ht="14.5" customHeight="1" x14ac:dyDescent="0.4">
      <c r="A33" s="57" t="s">
        <v>212</v>
      </c>
      <c r="B33" s="58"/>
      <c r="C33" s="58">
        <f>输入!$C$42/(1+输入!$B$42)</f>
        <v>0.24056603773584906</v>
      </c>
      <c r="D33" s="58">
        <f t="shared" si="8"/>
        <v>0.24056603773584906</v>
      </c>
      <c r="E33" s="58">
        <f t="shared" ref="E33:L33" si="10">D33</f>
        <v>0.24056603773584906</v>
      </c>
      <c r="F33" s="58">
        <f t="shared" si="10"/>
        <v>0.24056603773584906</v>
      </c>
      <c r="G33" s="58">
        <f t="shared" si="10"/>
        <v>0.24056603773584906</v>
      </c>
      <c r="H33" s="58">
        <f t="shared" si="10"/>
        <v>0.24056603773584906</v>
      </c>
      <c r="I33" s="58">
        <f t="shared" si="10"/>
        <v>0.24056603773584906</v>
      </c>
      <c r="J33" s="58">
        <f t="shared" si="10"/>
        <v>0.24056603773584906</v>
      </c>
      <c r="K33" s="58">
        <f t="shared" si="10"/>
        <v>0.24056603773584906</v>
      </c>
      <c r="L33" s="58">
        <f t="shared" si="10"/>
        <v>0.24056603773584906</v>
      </c>
    </row>
    <row r="34" spans="1:12" s="134" customFormat="1" ht="14.5" customHeight="1" x14ac:dyDescent="0.4">
      <c r="A34" s="57" t="s">
        <v>213</v>
      </c>
      <c r="B34" s="58"/>
      <c r="C34" s="58">
        <f>输入!$C$43/(1+输入!$B$43)</f>
        <v>0.94339622641509424</v>
      </c>
      <c r="D34" s="58">
        <f t="shared" ref="D34" si="11">C34</f>
        <v>0.94339622641509424</v>
      </c>
      <c r="E34" s="58">
        <f t="shared" ref="E34:L34" si="12">D34</f>
        <v>0.94339622641509424</v>
      </c>
      <c r="F34" s="58">
        <f t="shared" si="12"/>
        <v>0.94339622641509424</v>
      </c>
      <c r="G34" s="58">
        <f t="shared" si="12"/>
        <v>0.94339622641509424</v>
      </c>
      <c r="H34" s="58">
        <f t="shared" si="12"/>
        <v>0.94339622641509424</v>
      </c>
      <c r="I34" s="58">
        <f t="shared" si="12"/>
        <v>0.94339622641509424</v>
      </c>
      <c r="J34" s="58">
        <f t="shared" si="12"/>
        <v>0.94339622641509424</v>
      </c>
      <c r="K34" s="58">
        <f t="shared" si="12"/>
        <v>0.94339622641509424</v>
      </c>
      <c r="L34" s="58">
        <f t="shared" si="12"/>
        <v>0.94339622641509424</v>
      </c>
    </row>
    <row r="35" spans="1:12" s="134" customFormat="1" ht="14.5" customHeight="1" x14ac:dyDescent="0.4">
      <c r="A35" s="57" t="s">
        <v>214</v>
      </c>
      <c r="B35" s="58"/>
      <c r="C35" s="58">
        <f>输入!$C$44/(1+输入!$B$44)</f>
        <v>0</v>
      </c>
      <c r="D35" s="58">
        <f t="shared" ref="D35:D40" si="13">C35</f>
        <v>0</v>
      </c>
      <c r="E35" s="58">
        <f t="shared" ref="E35:L35" si="14">D35</f>
        <v>0</v>
      </c>
      <c r="F35" s="58">
        <f t="shared" si="14"/>
        <v>0</v>
      </c>
      <c r="G35" s="58">
        <f t="shared" si="14"/>
        <v>0</v>
      </c>
      <c r="H35" s="58">
        <f t="shared" si="14"/>
        <v>0</v>
      </c>
      <c r="I35" s="58">
        <f t="shared" si="14"/>
        <v>0</v>
      </c>
      <c r="J35" s="58">
        <f t="shared" si="14"/>
        <v>0</v>
      </c>
      <c r="K35" s="58">
        <f t="shared" si="14"/>
        <v>0</v>
      </c>
      <c r="L35" s="58">
        <f t="shared" si="14"/>
        <v>0</v>
      </c>
    </row>
    <row r="36" spans="1:12" s="134" customFormat="1" ht="14.5" customHeight="1" x14ac:dyDescent="0.4">
      <c r="A36" s="57" t="s">
        <v>215</v>
      </c>
      <c r="B36" s="58"/>
      <c r="C36" s="58">
        <f>输入!$C$45/(1+输入!$B$45)</f>
        <v>0.98867924528301887</v>
      </c>
      <c r="D36" s="58">
        <f>C36*(1+输入!$C$46)</f>
        <v>0.99856603773584907</v>
      </c>
      <c r="E36" s="58">
        <f>D36*(1+输入!$C$46)</f>
        <v>1.0085516981132077</v>
      </c>
      <c r="F36" s="58">
        <f>E36*(1+输入!$C$46)</f>
        <v>1.0186372150943397</v>
      </c>
      <c r="G36" s="58">
        <f>F36*(1+输入!$C$46)</f>
        <v>1.0288235872452831</v>
      </c>
      <c r="H36" s="58">
        <f>G36*(1+输入!$C$46)</f>
        <v>1.0391118231177359</v>
      </c>
      <c r="I36" s="58">
        <f>H36*(1+输入!$C$46)</f>
        <v>1.0495029413489132</v>
      </c>
      <c r="J36" s="58">
        <f>I36*(1+输入!$C$46)</f>
        <v>1.0599979707624023</v>
      </c>
      <c r="K36" s="58">
        <f>J36*(1+输入!$C$46)</f>
        <v>1.0705979504700263</v>
      </c>
      <c r="L36" s="58">
        <f>K36*(1+输入!$C$46)</f>
        <v>1.0813039299747265</v>
      </c>
    </row>
    <row r="37" spans="1:12" s="134" customFormat="1" ht="14.5" customHeight="1" x14ac:dyDescent="0.4">
      <c r="A37" s="57" t="s">
        <v>216</v>
      </c>
      <c r="B37" s="58"/>
      <c r="C37" s="58">
        <f>输入!$C$47/(1+输入!$B$47)</f>
        <v>6.9056603773584905E-4</v>
      </c>
      <c r="D37" s="58">
        <f t="shared" si="13"/>
        <v>6.9056603773584905E-4</v>
      </c>
      <c r="E37" s="58">
        <f t="shared" ref="E37:L37" si="15">D37</f>
        <v>6.9056603773584905E-4</v>
      </c>
      <c r="F37" s="58">
        <f t="shared" si="15"/>
        <v>6.9056603773584905E-4</v>
      </c>
      <c r="G37" s="58">
        <f t="shared" si="15"/>
        <v>6.9056603773584905E-4</v>
      </c>
      <c r="H37" s="58">
        <f t="shared" si="15"/>
        <v>6.9056603773584905E-4</v>
      </c>
      <c r="I37" s="58">
        <f t="shared" si="15"/>
        <v>6.9056603773584905E-4</v>
      </c>
      <c r="J37" s="58">
        <f t="shared" si="15"/>
        <v>6.9056603773584905E-4</v>
      </c>
      <c r="K37" s="58">
        <f t="shared" si="15"/>
        <v>6.9056603773584905E-4</v>
      </c>
      <c r="L37" s="58">
        <f t="shared" si="15"/>
        <v>6.9056603773584905E-4</v>
      </c>
    </row>
    <row r="38" spans="1:12" s="134" customFormat="1" ht="14.5" customHeight="1" x14ac:dyDescent="0.4">
      <c r="A38" s="57" t="s">
        <v>217</v>
      </c>
      <c r="B38" s="58"/>
      <c r="C38" s="58">
        <f>输入!$C$48/(1+输入!$B$48)</f>
        <v>1.8867924528301885</v>
      </c>
      <c r="D38" s="58">
        <f t="shared" si="13"/>
        <v>1.8867924528301885</v>
      </c>
      <c r="E38" s="58">
        <f t="shared" ref="E38:L38" si="16">D38</f>
        <v>1.8867924528301885</v>
      </c>
      <c r="F38" s="58">
        <f t="shared" si="16"/>
        <v>1.8867924528301885</v>
      </c>
      <c r="G38" s="58">
        <f t="shared" si="16"/>
        <v>1.8867924528301885</v>
      </c>
      <c r="H38" s="58">
        <f t="shared" si="16"/>
        <v>1.8867924528301885</v>
      </c>
      <c r="I38" s="58">
        <f t="shared" si="16"/>
        <v>1.8867924528301885</v>
      </c>
      <c r="J38" s="58">
        <f t="shared" si="16"/>
        <v>1.8867924528301885</v>
      </c>
      <c r="K38" s="58">
        <f t="shared" si="16"/>
        <v>1.8867924528301885</v>
      </c>
      <c r="L38" s="58">
        <f t="shared" si="16"/>
        <v>1.8867924528301885</v>
      </c>
    </row>
    <row r="39" spans="1:12" s="134" customFormat="1" ht="14.5" customHeight="1" x14ac:dyDescent="0.4">
      <c r="A39" s="57" t="s">
        <v>218</v>
      </c>
      <c r="B39" s="58"/>
      <c r="C39" s="58">
        <f>输入!$C$49/(1+输入!$B$49)</f>
        <v>0</v>
      </c>
      <c r="D39" s="58">
        <f t="shared" si="13"/>
        <v>0</v>
      </c>
      <c r="E39" s="58">
        <f t="shared" ref="E39:L39" si="17">D39</f>
        <v>0</v>
      </c>
      <c r="F39" s="58">
        <f t="shared" si="17"/>
        <v>0</v>
      </c>
      <c r="G39" s="58">
        <f t="shared" si="17"/>
        <v>0</v>
      </c>
      <c r="H39" s="58">
        <f t="shared" si="17"/>
        <v>0</v>
      </c>
      <c r="I39" s="58">
        <f t="shared" si="17"/>
        <v>0</v>
      </c>
      <c r="J39" s="58">
        <f t="shared" si="17"/>
        <v>0</v>
      </c>
      <c r="K39" s="58">
        <f t="shared" si="17"/>
        <v>0</v>
      </c>
      <c r="L39" s="58">
        <f t="shared" si="17"/>
        <v>0</v>
      </c>
    </row>
    <row r="40" spans="1:12" s="134" customFormat="1" ht="14.5" customHeight="1" x14ac:dyDescent="0.4">
      <c r="A40" s="57" t="s">
        <v>219</v>
      </c>
      <c r="B40" s="58"/>
      <c r="C40" s="58">
        <f>输入!$C$50/(1+输入!$B$50)</f>
        <v>0</v>
      </c>
      <c r="D40" s="58">
        <f t="shared" si="13"/>
        <v>0</v>
      </c>
      <c r="E40" s="58">
        <f t="shared" ref="E40:L40" si="18">D40</f>
        <v>0</v>
      </c>
      <c r="F40" s="58">
        <f t="shared" si="18"/>
        <v>0</v>
      </c>
      <c r="G40" s="58">
        <f t="shared" si="18"/>
        <v>0</v>
      </c>
      <c r="H40" s="58">
        <f t="shared" si="18"/>
        <v>0</v>
      </c>
      <c r="I40" s="58">
        <f t="shared" si="18"/>
        <v>0</v>
      </c>
      <c r="J40" s="58">
        <f t="shared" si="18"/>
        <v>0</v>
      </c>
      <c r="K40" s="58">
        <f t="shared" si="18"/>
        <v>0</v>
      </c>
      <c r="L40" s="58">
        <f t="shared" si="18"/>
        <v>0</v>
      </c>
    </row>
    <row r="41" spans="1:12" s="134" customFormat="1" ht="14.5" customHeight="1" x14ac:dyDescent="0.4">
      <c r="A41" s="57" t="s">
        <v>220</v>
      </c>
      <c r="B41" s="58"/>
      <c r="C41" s="58">
        <f>输入!$C$51/(1+输入!$B$51)</f>
        <v>5.0437820214252458</v>
      </c>
      <c r="D41" s="58">
        <f>C41*(1+输入!$C$52)</f>
        <v>5.2959711224965087</v>
      </c>
      <c r="E41" s="58">
        <f>D41*(1+输入!$C$52)</f>
        <v>5.5607696786213348</v>
      </c>
      <c r="F41" s="58">
        <f>E41*(1+输入!$C$52)</f>
        <v>5.838808162552402</v>
      </c>
      <c r="G41" s="58">
        <f>F41*(1+输入!$C$52)</f>
        <v>6.130748570680022</v>
      </c>
      <c r="H41" s="58">
        <f>G41*(1+输入!$C$52)</f>
        <v>6.4372859992140237</v>
      </c>
      <c r="I41" s="58">
        <f>H41*(1+输入!$C$52)</f>
        <v>6.759150299174725</v>
      </c>
      <c r="J41" s="58">
        <f>I41*(1+输入!$C$52)</f>
        <v>7.0971078141334614</v>
      </c>
      <c r="K41" s="58">
        <f>J41*(1+输入!$C$52)</f>
        <v>7.4519632048401352</v>
      </c>
      <c r="L41" s="58">
        <f>K41*(1+输入!$C$52)</f>
        <v>7.8245613650821424</v>
      </c>
    </row>
    <row r="43" spans="1:12" s="66" customFormat="1" ht="15" x14ac:dyDescent="0.4">
      <c r="A43" s="215" t="s">
        <v>323</v>
      </c>
      <c r="C43" s="65">
        <f>SUM(C44:C55)</f>
        <v>1.1087330967475462</v>
      </c>
      <c r="D43" s="65">
        <f t="shared" ref="D43" si="19">SUM(D44:D55)</f>
        <v>1.14211088743398</v>
      </c>
      <c r="E43" s="65">
        <f t="shared" ref="E43" si="20">SUM(E44:E55)</f>
        <v>1.177133839352849</v>
      </c>
      <c r="F43" s="65">
        <f t="shared" ref="F43" si="21">SUM(F44:F55)</f>
        <v>1.2138839732827555</v>
      </c>
      <c r="G43" s="65">
        <f t="shared" ref="G43" si="22">SUM(G44:G55)</f>
        <v>1.2524474086684028</v>
      </c>
      <c r="H43" s="65">
        <f t="shared" ref="H43" si="23">SUM(H44:H55)</f>
        <v>1.2929145685301702</v>
      </c>
      <c r="I43" s="65">
        <f t="shared" ref="I43" si="24">SUM(I44:I55)</f>
        <v>1.335380394618932</v>
      </c>
      <c r="J43" s="65">
        <f t="shared" ref="J43" si="25">SUM(J44:J55)</f>
        <v>1.3799445733283771</v>
      </c>
      <c r="K43" s="65">
        <f t="shared" ref="K43" si="26">SUM(K44:K55)</f>
        <v>1.4267117729027021</v>
      </c>
      <c r="L43" s="65">
        <f t="shared" ref="L43" si="27">SUM(L44:L55)</f>
        <v>1.4757918925044451</v>
      </c>
    </row>
    <row r="44" spans="1:12" ht="14.5" x14ac:dyDescent="0.3">
      <c r="A44" s="57" t="s">
        <v>209</v>
      </c>
      <c r="B44" s="58"/>
      <c r="C44" s="58">
        <f>输入!C$38/(1+输入!$B$38)*输入!$B$38</f>
        <v>3.962264150943396E-2</v>
      </c>
      <c r="D44" s="58">
        <f>C44</f>
        <v>3.962264150943396E-2</v>
      </c>
      <c r="E44" s="58">
        <f t="shared" ref="E44:L44" si="28">D44</f>
        <v>3.962264150943396E-2</v>
      </c>
      <c r="F44" s="58">
        <f t="shared" si="28"/>
        <v>3.962264150943396E-2</v>
      </c>
      <c r="G44" s="58">
        <f t="shared" si="28"/>
        <v>3.962264150943396E-2</v>
      </c>
      <c r="H44" s="58">
        <f t="shared" si="28"/>
        <v>3.962264150943396E-2</v>
      </c>
      <c r="I44" s="58">
        <f t="shared" si="28"/>
        <v>3.962264150943396E-2</v>
      </c>
      <c r="J44" s="58">
        <f t="shared" si="28"/>
        <v>3.962264150943396E-2</v>
      </c>
      <c r="K44" s="58">
        <f t="shared" si="28"/>
        <v>3.962264150943396E-2</v>
      </c>
      <c r="L44" s="58">
        <f t="shared" si="28"/>
        <v>3.962264150943396E-2</v>
      </c>
    </row>
    <row r="45" spans="1:12" ht="14.5" x14ac:dyDescent="0.3">
      <c r="A45" s="57" t="s">
        <v>210</v>
      </c>
      <c r="B45" s="58"/>
      <c r="C45" s="58">
        <f>输入!$C$39/(1+输入!$B$39)*输入!$B$39</f>
        <v>0.16981132075471697</v>
      </c>
      <c r="D45" s="58">
        <f t="shared" ref="D45:L45" si="29">C45</f>
        <v>0.16981132075471697</v>
      </c>
      <c r="E45" s="58">
        <f t="shared" si="29"/>
        <v>0.16981132075471697</v>
      </c>
      <c r="F45" s="58">
        <f t="shared" si="29"/>
        <v>0.16981132075471697</v>
      </c>
      <c r="G45" s="58">
        <f t="shared" si="29"/>
        <v>0.16981132075471697</v>
      </c>
      <c r="H45" s="58">
        <f t="shared" si="29"/>
        <v>0.16981132075471697</v>
      </c>
      <c r="I45" s="58">
        <f t="shared" si="29"/>
        <v>0.16981132075471697</v>
      </c>
      <c r="J45" s="58">
        <f t="shared" si="29"/>
        <v>0.16981132075471697</v>
      </c>
      <c r="K45" s="58">
        <f t="shared" si="29"/>
        <v>0.16981132075471697</v>
      </c>
      <c r="L45" s="58">
        <f t="shared" si="29"/>
        <v>0.16981132075471697</v>
      </c>
    </row>
    <row r="46" spans="1:12" ht="14.5" x14ac:dyDescent="0.3">
      <c r="A46" s="57" t="s">
        <v>211</v>
      </c>
      <c r="B46" s="58"/>
      <c r="C46" s="58">
        <f>输入!$C$41/(1+输入!$B$41)*输入!$B$41</f>
        <v>0</v>
      </c>
      <c r="D46" s="58">
        <f>C46*(1+输入!$C$40)</f>
        <v>0</v>
      </c>
      <c r="E46" s="58">
        <f>D46*(1+输入!$C$40)</f>
        <v>0</v>
      </c>
      <c r="F46" s="58">
        <f>E46*(1+输入!$C$40)</f>
        <v>0</v>
      </c>
      <c r="G46" s="58">
        <f>F46*(1+输入!$C$40)</f>
        <v>0</v>
      </c>
      <c r="H46" s="58">
        <f>G46*(1+输入!$C$40)</f>
        <v>0</v>
      </c>
      <c r="I46" s="58">
        <f>H46*(1+输入!$C$40)</f>
        <v>0</v>
      </c>
      <c r="J46" s="58">
        <f>I46*(1+输入!$C$40)</f>
        <v>0</v>
      </c>
      <c r="K46" s="58">
        <f>J46*(1+输入!$C$40)</f>
        <v>0</v>
      </c>
      <c r="L46" s="58">
        <f>K46*(1+输入!$C$40)</f>
        <v>0</v>
      </c>
    </row>
    <row r="47" spans="1:12" ht="14.5" x14ac:dyDescent="0.3">
      <c r="A47" s="57" t="s">
        <v>212</v>
      </c>
      <c r="B47" s="58"/>
      <c r="C47" s="58">
        <f>输入!$C$42/(1+输入!$B$42)*输入!$B$42</f>
        <v>1.4433962264150942E-2</v>
      </c>
      <c r="D47" s="58">
        <f t="shared" ref="D47:L47" si="30">C47</f>
        <v>1.4433962264150942E-2</v>
      </c>
      <c r="E47" s="58">
        <f t="shared" si="30"/>
        <v>1.4433962264150942E-2</v>
      </c>
      <c r="F47" s="58">
        <f t="shared" si="30"/>
        <v>1.4433962264150942E-2</v>
      </c>
      <c r="G47" s="58">
        <f t="shared" si="30"/>
        <v>1.4433962264150942E-2</v>
      </c>
      <c r="H47" s="58">
        <f t="shared" si="30"/>
        <v>1.4433962264150942E-2</v>
      </c>
      <c r="I47" s="58">
        <f t="shared" si="30"/>
        <v>1.4433962264150942E-2</v>
      </c>
      <c r="J47" s="58">
        <f t="shared" si="30"/>
        <v>1.4433962264150942E-2</v>
      </c>
      <c r="K47" s="58">
        <f t="shared" si="30"/>
        <v>1.4433962264150942E-2</v>
      </c>
      <c r="L47" s="58">
        <f t="shared" si="30"/>
        <v>1.4433962264150942E-2</v>
      </c>
    </row>
    <row r="48" spans="1:12" ht="14.5" x14ac:dyDescent="0.3">
      <c r="A48" s="57" t="s">
        <v>213</v>
      </c>
      <c r="B48" s="58"/>
      <c r="C48" s="58">
        <f>输入!$C$43/(1+输入!$B$43)*输入!$B$43</f>
        <v>5.6603773584905655E-2</v>
      </c>
      <c r="D48" s="58">
        <f t="shared" ref="D48:L48" si="31">C48</f>
        <v>5.6603773584905655E-2</v>
      </c>
      <c r="E48" s="58">
        <f t="shared" si="31"/>
        <v>5.6603773584905655E-2</v>
      </c>
      <c r="F48" s="58">
        <f t="shared" si="31"/>
        <v>5.6603773584905655E-2</v>
      </c>
      <c r="G48" s="58">
        <f t="shared" si="31"/>
        <v>5.6603773584905655E-2</v>
      </c>
      <c r="H48" s="58">
        <f t="shared" si="31"/>
        <v>5.6603773584905655E-2</v>
      </c>
      <c r="I48" s="58">
        <f t="shared" si="31"/>
        <v>5.6603773584905655E-2</v>
      </c>
      <c r="J48" s="58">
        <f t="shared" si="31"/>
        <v>5.6603773584905655E-2</v>
      </c>
      <c r="K48" s="58">
        <f t="shared" si="31"/>
        <v>5.6603773584905655E-2</v>
      </c>
      <c r="L48" s="58">
        <f t="shared" si="31"/>
        <v>5.6603773584905655E-2</v>
      </c>
    </row>
    <row r="49" spans="1:12" ht="14.5" x14ac:dyDescent="0.3">
      <c r="A49" s="57" t="s">
        <v>214</v>
      </c>
      <c r="B49" s="58"/>
      <c r="C49" s="58">
        <f>输入!$C$44/(1+输入!$B$44)*输入!$B$44</f>
        <v>0</v>
      </c>
      <c r="D49" s="58">
        <f t="shared" ref="D49:L49" si="32">C49</f>
        <v>0</v>
      </c>
      <c r="E49" s="58">
        <f t="shared" si="32"/>
        <v>0</v>
      </c>
      <c r="F49" s="58">
        <f t="shared" si="32"/>
        <v>0</v>
      </c>
      <c r="G49" s="58">
        <f t="shared" si="32"/>
        <v>0</v>
      </c>
      <c r="H49" s="58">
        <f t="shared" si="32"/>
        <v>0</v>
      </c>
      <c r="I49" s="58">
        <f t="shared" si="32"/>
        <v>0</v>
      </c>
      <c r="J49" s="58">
        <f t="shared" si="32"/>
        <v>0</v>
      </c>
      <c r="K49" s="58">
        <f t="shared" si="32"/>
        <v>0</v>
      </c>
      <c r="L49" s="58">
        <f t="shared" si="32"/>
        <v>0</v>
      </c>
    </row>
    <row r="50" spans="1:12" ht="14.5" x14ac:dyDescent="0.3">
      <c r="A50" s="57" t="s">
        <v>215</v>
      </c>
      <c r="B50" s="58"/>
      <c r="C50" s="58">
        <f>输入!$C$45/(1+输入!$B$45)*输入!$B$45</f>
        <v>5.9320754716981131E-2</v>
      </c>
      <c r="D50" s="58">
        <f>C50*(1+输入!$C$46)</f>
        <v>5.9913962264150945E-2</v>
      </c>
      <c r="E50" s="58">
        <f>D50*(1+输入!$C$46)</f>
        <v>6.0513101886792459E-2</v>
      </c>
      <c r="F50" s="58">
        <f>E50*(1+输入!$C$46)</f>
        <v>6.1118232905660382E-2</v>
      </c>
      <c r="G50" s="58">
        <f>F50*(1+输入!$C$46)</f>
        <v>6.1729415234716985E-2</v>
      </c>
      <c r="H50" s="58">
        <f>G50*(1+输入!$C$46)</f>
        <v>6.2346709387064152E-2</v>
      </c>
      <c r="I50" s="58">
        <f>H50*(1+输入!$C$46)</f>
        <v>6.2970176480934795E-2</v>
      </c>
      <c r="J50" s="58">
        <f>I50*(1+输入!$C$46)</f>
        <v>6.3599878245744146E-2</v>
      </c>
      <c r="K50" s="58">
        <f>J50*(1+输入!$C$46)</f>
        <v>6.4235877028201591E-2</v>
      </c>
      <c r="L50" s="58">
        <f>K50*(1+输入!$C$46)</f>
        <v>6.4878235798483605E-2</v>
      </c>
    </row>
    <row r="51" spans="1:12" ht="14.5" x14ac:dyDescent="0.3">
      <c r="A51" s="57" t="s">
        <v>216</v>
      </c>
      <c r="B51" s="58"/>
      <c r="C51" s="58">
        <f>输入!$C$47/(1+输入!$B$47)*输入!$B$47</f>
        <v>4.1433962264150944E-5</v>
      </c>
      <c r="D51" s="58">
        <f t="shared" ref="D51:L51" si="33">C51</f>
        <v>4.1433962264150944E-5</v>
      </c>
      <c r="E51" s="58">
        <f t="shared" si="33"/>
        <v>4.1433962264150944E-5</v>
      </c>
      <c r="F51" s="58">
        <f t="shared" si="33"/>
        <v>4.1433962264150944E-5</v>
      </c>
      <c r="G51" s="58">
        <f t="shared" si="33"/>
        <v>4.1433962264150944E-5</v>
      </c>
      <c r="H51" s="58">
        <f t="shared" si="33"/>
        <v>4.1433962264150944E-5</v>
      </c>
      <c r="I51" s="58">
        <f t="shared" si="33"/>
        <v>4.1433962264150944E-5</v>
      </c>
      <c r="J51" s="58">
        <f t="shared" si="33"/>
        <v>4.1433962264150944E-5</v>
      </c>
      <c r="K51" s="58">
        <f t="shared" si="33"/>
        <v>4.1433962264150944E-5</v>
      </c>
      <c r="L51" s="58">
        <f t="shared" si="33"/>
        <v>4.1433962264150944E-5</v>
      </c>
    </row>
    <row r="52" spans="1:12" ht="14.5" x14ac:dyDescent="0.3">
      <c r="A52" s="57" t="s">
        <v>217</v>
      </c>
      <c r="B52" s="58"/>
      <c r="C52" s="58">
        <f>输入!$C$48/(1+输入!$B$48)*输入!$B$48</f>
        <v>0.11320754716981131</v>
      </c>
      <c r="D52" s="58">
        <f t="shared" ref="D52:L52" si="34">C52</f>
        <v>0.11320754716981131</v>
      </c>
      <c r="E52" s="58">
        <f t="shared" si="34"/>
        <v>0.11320754716981131</v>
      </c>
      <c r="F52" s="58">
        <f t="shared" si="34"/>
        <v>0.11320754716981131</v>
      </c>
      <c r="G52" s="58">
        <f t="shared" si="34"/>
        <v>0.11320754716981131</v>
      </c>
      <c r="H52" s="58">
        <f t="shared" si="34"/>
        <v>0.11320754716981131</v>
      </c>
      <c r="I52" s="58">
        <f t="shared" si="34"/>
        <v>0.11320754716981131</v>
      </c>
      <c r="J52" s="58">
        <f t="shared" si="34"/>
        <v>0.11320754716981131</v>
      </c>
      <c r="K52" s="58">
        <f t="shared" si="34"/>
        <v>0.11320754716981131</v>
      </c>
      <c r="L52" s="58">
        <f t="shared" si="34"/>
        <v>0.11320754716981131</v>
      </c>
    </row>
    <row r="53" spans="1:12" ht="14.5" x14ac:dyDescent="0.3">
      <c r="A53" s="57" t="s">
        <v>218</v>
      </c>
      <c r="B53" s="58"/>
      <c r="C53" s="58">
        <f>输入!$C$49/(1+输入!$B$49)*输入!$B$49</f>
        <v>0</v>
      </c>
      <c r="D53" s="58">
        <f t="shared" ref="D53:L53" si="35">C53</f>
        <v>0</v>
      </c>
      <c r="E53" s="58">
        <f t="shared" si="35"/>
        <v>0</v>
      </c>
      <c r="F53" s="58">
        <f t="shared" si="35"/>
        <v>0</v>
      </c>
      <c r="G53" s="58">
        <f t="shared" si="35"/>
        <v>0</v>
      </c>
      <c r="H53" s="58">
        <f t="shared" si="35"/>
        <v>0</v>
      </c>
      <c r="I53" s="58">
        <f t="shared" si="35"/>
        <v>0</v>
      </c>
      <c r="J53" s="58">
        <f t="shared" si="35"/>
        <v>0</v>
      </c>
      <c r="K53" s="58">
        <f t="shared" si="35"/>
        <v>0</v>
      </c>
      <c r="L53" s="58">
        <f t="shared" si="35"/>
        <v>0</v>
      </c>
    </row>
    <row r="54" spans="1:12" ht="14.5" x14ac:dyDescent="0.3">
      <c r="A54" s="57" t="s">
        <v>219</v>
      </c>
      <c r="B54" s="58"/>
      <c r="C54" s="58">
        <f>输入!$C$50/(1+输入!$B$50)*输入!$B$50</f>
        <v>0</v>
      </c>
      <c r="D54" s="58">
        <f t="shared" ref="D54:L54" si="36">C54</f>
        <v>0</v>
      </c>
      <c r="E54" s="58">
        <f t="shared" si="36"/>
        <v>0</v>
      </c>
      <c r="F54" s="58">
        <f t="shared" si="36"/>
        <v>0</v>
      </c>
      <c r="G54" s="58">
        <f t="shared" si="36"/>
        <v>0</v>
      </c>
      <c r="H54" s="58">
        <f t="shared" si="36"/>
        <v>0</v>
      </c>
      <c r="I54" s="58">
        <f t="shared" si="36"/>
        <v>0</v>
      </c>
      <c r="J54" s="58">
        <f t="shared" si="36"/>
        <v>0</v>
      </c>
      <c r="K54" s="58">
        <f t="shared" si="36"/>
        <v>0</v>
      </c>
      <c r="L54" s="58">
        <f t="shared" si="36"/>
        <v>0</v>
      </c>
    </row>
    <row r="55" spans="1:12" ht="14.5" x14ac:dyDescent="0.3">
      <c r="A55" s="57" t="s">
        <v>220</v>
      </c>
      <c r="B55" s="58"/>
      <c r="C55" s="58">
        <f>输入!$C$51/(1+输入!$B$51)*输入!$B$51</f>
        <v>0.65569166278528201</v>
      </c>
      <c r="D55" s="58">
        <f>C55*(1+输入!$C$52)</f>
        <v>0.68847624592454615</v>
      </c>
      <c r="E55" s="58">
        <f>D55*(1+输入!$C$52)</f>
        <v>0.72290005822077352</v>
      </c>
      <c r="F55" s="58">
        <f>E55*(1+输入!$C$52)</f>
        <v>0.75904506113181225</v>
      </c>
      <c r="G55" s="58">
        <f>F55*(1+输入!$C$52)</f>
        <v>0.79699731418840292</v>
      </c>
      <c r="H55" s="58">
        <f>G55*(1+输入!$C$52)</f>
        <v>0.83684717989782309</v>
      </c>
      <c r="I55" s="58">
        <f>H55*(1+输入!$C$52)</f>
        <v>0.87868953889271428</v>
      </c>
      <c r="J55" s="58">
        <f>I55*(1+输入!$C$52)</f>
        <v>0.92262401583734999</v>
      </c>
      <c r="K55" s="58">
        <f>J55*(1+输入!$C$52)</f>
        <v>0.96875521662921749</v>
      </c>
      <c r="L55" s="58">
        <f>K55*(1+输入!$C$52)</f>
        <v>1.0171929774606785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DE9E-B46B-47B5-9A1B-597BA65529B3}">
  <dimension ref="A1:W52"/>
  <sheetViews>
    <sheetView zoomScale="85" zoomScaleNormal="85" workbookViewId="0">
      <selection activeCell="C34" sqref="C34"/>
    </sheetView>
  </sheetViews>
  <sheetFormatPr defaultRowHeight="14" x14ac:dyDescent="0.3"/>
  <cols>
    <col min="1" max="1" width="25.6640625" style="198" customWidth="1"/>
    <col min="2" max="12" width="11" style="60" customWidth="1"/>
    <col min="13" max="22" width="11" style="55" customWidth="1"/>
    <col min="23" max="16384" width="8.6640625" style="55"/>
  </cols>
  <sheetData>
    <row r="1" spans="1:23" ht="31" customHeight="1" x14ac:dyDescent="0.3">
      <c r="A1" s="192" t="s">
        <v>233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53"/>
      <c r="N1" s="53"/>
      <c r="O1" s="53"/>
      <c r="P1" s="53"/>
      <c r="Q1" s="53"/>
      <c r="R1" s="53"/>
      <c r="S1" s="53"/>
      <c r="T1" s="53"/>
      <c r="U1" s="53"/>
      <c r="V1" s="53"/>
      <c r="W1" s="54"/>
    </row>
    <row r="3" spans="1:23" ht="14.5" customHeight="1" x14ac:dyDescent="0.3">
      <c r="A3" s="193" t="s">
        <v>228</v>
      </c>
      <c r="B3" s="56" t="s">
        <v>229</v>
      </c>
      <c r="C3" s="56">
        <v>1</v>
      </c>
      <c r="D3" s="56">
        <v>2</v>
      </c>
      <c r="E3" s="56">
        <v>3</v>
      </c>
      <c r="F3" s="56">
        <v>4</v>
      </c>
      <c r="G3" s="56">
        <v>5</v>
      </c>
      <c r="H3" s="56">
        <v>6</v>
      </c>
      <c r="I3" s="56">
        <v>7</v>
      </c>
      <c r="J3" s="56">
        <v>8</v>
      </c>
      <c r="K3" s="56">
        <v>9</v>
      </c>
      <c r="L3" s="56">
        <v>10</v>
      </c>
    </row>
    <row r="4" spans="1:23" ht="14.5" customHeight="1" x14ac:dyDescent="0.3">
      <c r="A4" s="194" t="s">
        <v>234</v>
      </c>
    </row>
    <row r="5" spans="1:23" ht="14.5" customHeight="1" x14ac:dyDescent="0.3">
      <c r="A5" s="195" t="s">
        <v>286</v>
      </c>
      <c r="B5" s="58"/>
      <c r="C5" s="58">
        <f>利润表!C5*输入!$B$22</f>
        <v>7.7309734513274346</v>
      </c>
      <c r="D5" s="58">
        <f>利润表!D5*输入!$B$22</f>
        <v>7.7309734513274346</v>
      </c>
      <c r="E5" s="58">
        <f>利润表!E5*输入!$B$22</f>
        <v>7.7309734513274346</v>
      </c>
      <c r="F5" s="58">
        <f>利润表!F5*输入!$B$22</f>
        <v>7.7309734513274346</v>
      </c>
      <c r="G5" s="58">
        <f>利润表!G5*输入!$B$22</f>
        <v>7.7309734513274346</v>
      </c>
      <c r="H5" s="58">
        <f>利润表!H5*输入!$B$22</f>
        <v>7.7309734513274346</v>
      </c>
      <c r="I5" s="58">
        <f>利润表!I5*输入!$B$22</f>
        <v>7.7309734513274346</v>
      </c>
      <c r="J5" s="58">
        <f>利润表!J5*输入!$B$22</f>
        <v>7.7309734513274346</v>
      </c>
      <c r="K5" s="58">
        <f>利润表!K5*输入!$B$22</f>
        <v>0</v>
      </c>
      <c r="L5" s="58">
        <f>利润表!L5*输入!$B$22</f>
        <v>0</v>
      </c>
    </row>
    <row r="6" spans="1:23" ht="14.5" customHeight="1" x14ac:dyDescent="0.3">
      <c r="A6" s="195" t="s">
        <v>287</v>
      </c>
      <c r="B6" s="58"/>
      <c r="C6" s="58">
        <f>利润表!C6*输入!$E$29</f>
        <v>1.378424803174483</v>
      </c>
      <c r="D6" s="58">
        <f>利润表!D6*输入!$E$29</f>
        <v>1.3384451187425765</v>
      </c>
      <c r="E6" s="58">
        <f>利润表!E6*输入!$E$29</f>
        <v>1.3047057504079382</v>
      </c>
      <c r="F6" s="58">
        <f>利润表!F6*输入!$E$29</f>
        <v>1.2743984906102781</v>
      </c>
      <c r="G6" s="58">
        <f>利润表!G6*输入!$E$29</f>
        <v>1.2463730622312665</v>
      </c>
      <c r="H6" s="58">
        <f>利润表!H6*输入!$E$29</f>
        <v>1.2200209503661581</v>
      </c>
      <c r="I6" s="58">
        <f>利润表!I6*输入!$E$29</f>
        <v>1.1949293307567843</v>
      </c>
      <c r="J6" s="58">
        <f>利润表!J6*输入!$E$29</f>
        <v>1.1708529225744218</v>
      </c>
      <c r="K6" s="58">
        <f>利润表!K6*输入!$E$29</f>
        <v>0</v>
      </c>
      <c r="L6" s="58">
        <f>利润表!L6*输入!$E$29</f>
        <v>0</v>
      </c>
    </row>
    <row r="7" spans="1:23" ht="14.5" customHeight="1" x14ac:dyDescent="0.3">
      <c r="A7" s="195" t="s">
        <v>288</v>
      </c>
      <c r="B7" s="58"/>
      <c r="C7" s="58">
        <f>利润表!C7*输入!$K$21</f>
        <v>0</v>
      </c>
      <c r="D7" s="58">
        <f>利润表!D7*输入!$K$21</f>
        <v>0</v>
      </c>
      <c r="E7" s="58">
        <f>利润表!E7*输入!$K$21</f>
        <v>0</v>
      </c>
      <c r="F7" s="58">
        <f>利润表!F7*输入!$K$21</f>
        <v>0</v>
      </c>
      <c r="G7" s="58">
        <f>利润表!G7*输入!$K$21</f>
        <v>0</v>
      </c>
      <c r="H7" s="58">
        <f>利润表!H7*输入!$K$21</f>
        <v>0</v>
      </c>
      <c r="I7" s="58">
        <f>利润表!I7*输入!$K$21</f>
        <v>0</v>
      </c>
      <c r="J7" s="58">
        <f>利润表!J7*输入!$K$21</f>
        <v>0</v>
      </c>
      <c r="K7" s="58">
        <f>利润表!K7*输入!$K$21</f>
        <v>0</v>
      </c>
      <c r="L7" s="58">
        <f>利润表!L7*输入!$K$21</f>
        <v>0</v>
      </c>
    </row>
    <row r="8" spans="1:23" ht="14.5" customHeight="1" x14ac:dyDescent="0.3">
      <c r="A8" s="195" t="s">
        <v>277</v>
      </c>
      <c r="B8" s="58"/>
      <c r="C8" s="58">
        <f>利润表!C8*输入!$H$22</f>
        <v>0.51539823008849572</v>
      </c>
      <c r="D8" s="58">
        <f>利润表!D8*输入!$H$22</f>
        <v>0.51539823008849572</v>
      </c>
      <c r="E8" s="58">
        <f>利润表!E8*输入!$H$22</f>
        <v>0.51539823008849572</v>
      </c>
      <c r="F8" s="58">
        <f>利润表!F8*输入!$H$22</f>
        <v>0.51539823008849572</v>
      </c>
      <c r="G8" s="58">
        <f>利润表!G8*输入!$H$22</f>
        <v>0.51539823008849572</v>
      </c>
      <c r="H8" s="58">
        <f>利润表!H8*输入!$H$22</f>
        <v>0.51539823008849572</v>
      </c>
      <c r="I8" s="58">
        <f>利润表!I8*输入!$H$22</f>
        <v>0.51539823008849572</v>
      </c>
      <c r="J8" s="58">
        <f>利润表!J8*输入!$H$22</f>
        <v>0.51539823008849572</v>
      </c>
      <c r="K8" s="58">
        <f>利润表!K8*输入!$H$22</f>
        <v>0</v>
      </c>
      <c r="L8" s="58">
        <f>利润表!L8*输入!$H$22</f>
        <v>0</v>
      </c>
    </row>
    <row r="9" spans="1:23" ht="14.5" customHeight="1" x14ac:dyDescent="0.3">
      <c r="A9" s="195" t="s">
        <v>279</v>
      </c>
      <c r="B9" s="58"/>
      <c r="C9" s="58">
        <f>利润表!C9*输入!$N$21</f>
        <v>2.3008849557522131E-3</v>
      </c>
      <c r="D9" s="58">
        <f>利润表!D9*输入!$N$21</f>
        <v>2.3008849557522131E-3</v>
      </c>
      <c r="E9" s="58">
        <f>利润表!E9*输入!$N$21</f>
        <v>2.3008849557522131E-3</v>
      </c>
      <c r="F9" s="58">
        <f>利润表!F9*输入!$N$21</f>
        <v>2.3008849557522131E-3</v>
      </c>
      <c r="G9" s="58">
        <f>利润表!G9*输入!$N$21</f>
        <v>2.3008849557522131E-3</v>
      </c>
      <c r="H9" s="58">
        <f>利润表!H9*输入!$N$21</f>
        <v>2.3008849557522131E-3</v>
      </c>
      <c r="I9" s="58">
        <f>利润表!I9*输入!$N$21</f>
        <v>2.3008849557522131E-3</v>
      </c>
      <c r="J9" s="58">
        <f>利润表!J9*输入!$N$21</f>
        <v>2.3008849557522131E-3</v>
      </c>
      <c r="K9" s="58">
        <f>利润表!K9*输入!$N$21</f>
        <v>0</v>
      </c>
      <c r="L9" s="58">
        <f>利润表!L9*输入!$N$21</f>
        <v>0</v>
      </c>
    </row>
    <row r="10" spans="1:23" s="66" customFormat="1" ht="14.5" customHeight="1" x14ac:dyDescent="0.3">
      <c r="A10" s="196" t="s">
        <v>296</v>
      </c>
      <c r="B10" s="65"/>
      <c r="C10" s="65">
        <f>C5+C6+C7+C8+C9</f>
        <v>9.6270973695461652</v>
      </c>
      <c r="D10" s="65">
        <f t="shared" ref="D10:L10" si="0">D5+D6+D7+D8+D9</f>
        <v>9.5871176851142597</v>
      </c>
      <c r="E10" s="65">
        <f t="shared" si="0"/>
        <v>9.5533783167796216</v>
      </c>
      <c r="F10" s="65">
        <f t="shared" si="0"/>
        <v>9.5230710569819603</v>
      </c>
      <c r="G10" s="65">
        <f t="shared" si="0"/>
        <v>9.4950456286029485</v>
      </c>
      <c r="H10" s="65">
        <f t="shared" si="0"/>
        <v>9.4686935167378401</v>
      </c>
      <c r="I10" s="65">
        <f t="shared" si="0"/>
        <v>9.4436018971284668</v>
      </c>
      <c r="J10" s="65">
        <f t="shared" si="0"/>
        <v>9.4195254889461051</v>
      </c>
      <c r="K10" s="65">
        <f t="shared" si="0"/>
        <v>0</v>
      </c>
      <c r="L10" s="65">
        <f t="shared" si="0"/>
        <v>0</v>
      </c>
    </row>
    <row r="12" spans="1:23" ht="14.5" customHeight="1" x14ac:dyDescent="0.3">
      <c r="A12" s="194" t="s">
        <v>235</v>
      </c>
    </row>
    <row r="13" spans="1:23" ht="14.5" customHeight="1" x14ac:dyDescent="0.3">
      <c r="A13" s="195" t="s">
        <v>297</v>
      </c>
      <c r="B13" s="58">
        <f>输入!N17</f>
        <v>32.833518024635374</v>
      </c>
      <c r="C13" s="58">
        <v>0</v>
      </c>
      <c r="D13" s="58">
        <v>0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</row>
    <row r="14" spans="1:23" ht="14.5" customHeight="1" x14ac:dyDescent="0.3">
      <c r="A14" s="195" t="s">
        <v>318</v>
      </c>
      <c r="B14" s="58"/>
      <c r="C14" s="58">
        <f>利润表!C12*输入!$E$30</f>
        <v>0.78319591089459273</v>
      </c>
      <c r="D14" s="58">
        <f>利润表!D12*输入!$E$30</f>
        <v>0.76048018110373639</v>
      </c>
      <c r="E14" s="58">
        <f>利润表!E12*输入!$E$30</f>
        <v>0.74131008545905552</v>
      </c>
      <c r="F14" s="58">
        <f>利润表!F12*输入!$E$30</f>
        <v>0.72409005148311256</v>
      </c>
      <c r="G14" s="58">
        <f>利润表!G12*输入!$E$30</f>
        <v>0.70816651263140129</v>
      </c>
      <c r="H14" s="58">
        <f>利润表!H12*输入!$E$30</f>
        <v>0.69319372179895344</v>
      </c>
      <c r="I14" s="58">
        <f>利润表!I12*输入!$E$30</f>
        <v>0.67893711974817272</v>
      </c>
      <c r="J14" s="58">
        <f>利润表!J12*输入!$E$30</f>
        <v>0.66525734237183065</v>
      </c>
      <c r="K14" s="58">
        <f>利润表!K12*输入!$E$30</f>
        <v>0</v>
      </c>
      <c r="L14" s="58">
        <f>利润表!L12*输入!$E$30</f>
        <v>0</v>
      </c>
    </row>
    <row r="15" spans="1:23" ht="14.5" customHeight="1" x14ac:dyDescent="0.3">
      <c r="A15" s="195" t="s">
        <v>317</v>
      </c>
      <c r="B15" s="58">
        <v>0</v>
      </c>
      <c r="C15" s="58">
        <f>IF(C$3&gt;输入!$C$9,0,利润表!C43)</f>
        <v>1.1087330967475462</v>
      </c>
      <c r="D15" s="58">
        <f>IF(D$3&gt;输入!$C$9,0,利润表!D43)</f>
        <v>1.14211088743398</v>
      </c>
      <c r="E15" s="58">
        <f>IF(E$3&gt;输入!$C$9,0,利润表!E43)</f>
        <v>1.177133839352849</v>
      </c>
      <c r="F15" s="58">
        <f>IF(F$3&gt;输入!$C$9,0,利润表!F43)</f>
        <v>1.2138839732827555</v>
      </c>
      <c r="G15" s="58">
        <f>IF(G$3&gt;输入!$C$9,0,利润表!G43)</f>
        <v>1.2524474086684028</v>
      </c>
      <c r="H15" s="58">
        <f>IF(H$3&gt;输入!$C$9,0,利润表!H43)</f>
        <v>1.2929145685301702</v>
      </c>
      <c r="I15" s="58">
        <f>IF(I$3&gt;输入!$C$9,0,利润表!I43)</f>
        <v>1.335380394618932</v>
      </c>
      <c r="J15" s="58">
        <f>IF(J$3&gt;输入!$C$9,0,利润表!J43)</f>
        <v>1.3799445733283771</v>
      </c>
      <c r="K15" s="58">
        <f>IF(K$3&gt;输入!$C$9,0,利润表!K43)</f>
        <v>0</v>
      </c>
      <c r="L15" s="58">
        <f>IF(L$3&gt;输入!$C$9,0,利润表!L43)</f>
        <v>0</v>
      </c>
    </row>
    <row r="16" spans="1:23" s="66" customFormat="1" ht="14.5" customHeight="1" x14ac:dyDescent="0.3">
      <c r="A16" s="196" t="s">
        <v>298</v>
      </c>
      <c r="B16" s="65">
        <f>B13+B15+B14</f>
        <v>32.833518024635374</v>
      </c>
      <c r="C16" s="65">
        <f>C13+C15+C14</f>
        <v>1.8919290076421389</v>
      </c>
      <c r="D16" s="65">
        <f t="shared" ref="D16:L16" si="1">D13+D15+D14</f>
        <v>1.9025910685377165</v>
      </c>
      <c r="E16" s="65">
        <f t="shared" si="1"/>
        <v>1.9184439248119045</v>
      </c>
      <c r="F16" s="65">
        <f t="shared" si="1"/>
        <v>1.9379740247658681</v>
      </c>
      <c r="G16" s="65">
        <f t="shared" si="1"/>
        <v>1.9606139212998039</v>
      </c>
      <c r="H16" s="65">
        <f t="shared" si="1"/>
        <v>1.9861082903291236</v>
      </c>
      <c r="I16" s="65">
        <f t="shared" si="1"/>
        <v>2.0143175143671046</v>
      </c>
      <c r="J16" s="65">
        <f t="shared" si="1"/>
        <v>2.0452019157002077</v>
      </c>
      <c r="K16" s="65">
        <f t="shared" si="1"/>
        <v>0</v>
      </c>
      <c r="L16" s="65">
        <f t="shared" si="1"/>
        <v>0</v>
      </c>
    </row>
    <row r="18" spans="1:12" ht="14.5" customHeight="1" x14ac:dyDescent="0.3">
      <c r="A18" s="194" t="s">
        <v>236</v>
      </c>
    </row>
    <row r="19" spans="1:12" ht="14.5" customHeight="1" x14ac:dyDescent="0.3">
      <c r="A19" s="195" t="s">
        <v>299</v>
      </c>
      <c r="B19" s="58">
        <v>0</v>
      </c>
      <c r="C19" s="58">
        <f>IF(C$3&gt;输入!$C$9,0,B22)</f>
        <v>32.833518024635374</v>
      </c>
      <c r="D19" s="58">
        <f>IF(D$3&gt;输入!$C$9,0,C22)</f>
        <v>25.098349662731351</v>
      </c>
      <c r="E19" s="58">
        <f>IF(E$3&gt;输入!$C$9,0,D22)</f>
        <v>17.41382304615481</v>
      </c>
      <c r="F19" s="58">
        <f>IF(F$3&gt;输入!$C$9,0,E22)</f>
        <v>9.7788886541870923</v>
      </c>
      <c r="G19" s="58">
        <f>IF(G$3&gt;输入!$C$9,0,F22)</f>
        <v>2.1937916219710001</v>
      </c>
      <c r="H19" s="58">
        <f>IF(H$3&gt;输入!$C$9,0,G22)</f>
        <v>0</v>
      </c>
      <c r="I19" s="58">
        <f>IF(I$3&gt;输入!$C$9,0,H22)</f>
        <v>0</v>
      </c>
      <c r="J19" s="58">
        <f>IF(J$3&gt;输入!$C$9,0,I22)</f>
        <v>0</v>
      </c>
      <c r="K19" s="58">
        <f>IF(K$3&gt;输入!$C$9,0,J22)</f>
        <v>0</v>
      </c>
      <c r="L19" s="58">
        <f>IF(L$3&gt;输入!$C$9,0,K22)</f>
        <v>0</v>
      </c>
    </row>
    <row r="20" spans="1:12" ht="14.5" customHeight="1" x14ac:dyDescent="0.3">
      <c r="A20" s="195" t="s">
        <v>300</v>
      </c>
      <c r="B20" s="58">
        <f t="shared" ref="B20:L20" si="2">B16+B19</f>
        <v>32.833518024635374</v>
      </c>
      <c r="C20" s="58">
        <f t="shared" si="2"/>
        <v>34.725447032277515</v>
      </c>
      <c r="D20" s="58">
        <f t="shared" si="2"/>
        <v>27.000940731269068</v>
      </c>
      <c r="E20" s="58">
        <f t="shared" si="2"/>
        <v>19.332266970966714</v>
      </c>
      <c r="F20" s="58">
        <f t="shared" si="2"/>
        <v>11.71686267895296</v>
      </c>
      <c r="G20" s="58">
        <f t="shared" si="2"/>
        <v>4.154405543270804</v>
      </c>
      <c r="H20" s="58">
        <f t="shared" si="2"/>
        <v>1.9861082903291236</v>
      </c>
      <c r="I20" s="58">
        <f t="shared" si="2"/>
        <v>2.0143175143671046</v>
      </c>
      <c r="J20" s="58">
        <f t="shared" si="2"/>
        <v>2.0452019157002077</v>
      </c>
      <c r="K20" s="58">
        <f t="shared" si="2"/>
        <v>0</v>
      </c>
      <c r="L20" s="58">
        <f t="shared" si="2"/>
        <v>0</v>
      </c>
    </row>
    <row r="21" spans="1:12" ht="14.5" customHeight="1" x14ac:dyDescent="0.3">
      <c r="A21" s="196" t="s">
        <v>301</v>
      </c>
      <c r="B21" s="65">
        <f t="shared" ref="B21:L21" si="3">MAX(0,B10-B20)</f>
        <v>0</v>
      </c>
      <c r="C21" s="65">
        <f t="shared" si="3"/>
        <v>0</v>
      </c>
      <c r="D21" s="65">
        <f t="shared" si="3"/>
        <v>0</v>
      </c>
      <c r="E21" s="65">
        <f t="shared" si="3"/>
        <v>0</v>
      </c>
      <c r="F21" s="65">
        <f t="shared" si="3"/>
        <v>0</v>
      </c>
      <c r="G21" s="65">
        <f t="shared" si="3"/>
        <v>5.3406400853321445</v>
      </c>
      <c r="H21" s="65">
        <f t="shared" si="3"/>
        <v>7.482585226408716</v>
      </c>
      <c r="I21" s="65">
        <f t="shared" si="3"/>
        <v>7.4292843827613622</v>
      </c>
      <c r="J21" s="65">
        <f t="shared" si="3"/>
        <v>7.3743235732458974</v>
      </c>
      <c r="K21" s="65">
        <f t="shared" si="3"/>
        <v>0</v>
      </c>
      <c r="L21" s="65">
        <f t="shared" si="3"/>
        <v>0</v>
      </c>
    </row>
    <row r="22" spans="1:12" ht="14.5" customHeight="1" x14ac:dyDescent="0.3">
      <c r="A22" s="195" t="s">
        <v>302</v>
      </c>
      <c r="B22" s="58">
        <f t="shared" ref="B22:L22" si="4">MAX(0,B20-B10)</f>
        <v>32.833518024635374</v>
      </c>
      <c r="C22" s="58">
        <f t="shared" si="4"/>
        <v>25.098349662731351</v>
      </c>
      <c r="D22" s="58">
        <f t="shared" si="4"/>
        <v>17.41382304615481</v>
      </c>
      <c r="E22" s="58">
        <f t="shared" si="4"/>
        <v>9.7788886541870923</v>
      </c>
      <c r="F22" s="58">
        <f t="shared" si="4"/>
        <v>2.1937916219710001</v>
      </c>
      <c r="G22" s="58">
        <f t="shared" si="4"/>
        <v>0</v>
      </c>
      <c r="H22" s="58">
        <f t="shared" si="4"/>
        <v>0</v>
      </c>
      <c r="I22" s="58">
        <f t="shared" si="4"/>
        <v>0</v>
      </c>
      <c r="J22" s="58">
        <f t="shared" si="4"/>
        <v>0</v>
      </c>
      <c r="K22" s="58">
        <f t="shared" si="4"/>
        <v>0</v>
      </c>
      <c r="L22" s="58">
        <f t="shared" si="4"/>
        <v>0</v>
      </c>
    </row>
    <row r="23" spans="1:12" ht="14.5" customHeight="1" x14ac:dyDescent="0.3">
      <c r="A23" s="197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</row>
    <row r="24" spans="1:12" ht="14.5" customHeight="1" x14ac:dyDescent="0.3">
      <c r="A24" s="194" t="s">
        <v>237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</row>
    <row r="25" spans="1:12" ht="14.5" customHeight="1" x14ac:dyDescent="0.3">
      <c r="A25" s="195" t="s">
        <v>303</v>
      </c>
      <c r="B25" s="58">
        <f t="shared" ref="B25:L25" si="5">B21*0.07</f>
        <v>0</v>
      </c>
      <c r="C25" s="58">
        <f t="shared" si="5"/>
        <v>0</v>
      </c>
      <c r="D25" s="58">
        <f t="shared" si="5"/>
        <v>0</v>
      </c>
      <c r="E25" s="58">
        <f t="shared" si="5"/>
        <v>0</v>
      </c>
      <c r="F25" s="58">
        <f t="shared" si="5"/>
        <v>0</v>
      </c>
      <c r="G25" s="58">
        <f t="shared" si="5"/>
        <v>0.37384480597325015</v>
      </c>
      <c r="H25" s="58">
        <f t="shared" si="5"/>
        <v>0.52378096584861022</v>
      </c>
      <c r="I25" s="58">
        <f t="shared" si="5"/>
        <v>0.52004990679329544</v>
      </c>
      <c r="J25" s="58">
        <f t="shared" si="5"/>
        <v>0.51620265012721289</v>
      </c>
      <c r="K25" s="58">
        <f t="shared" si="5"/>
        <v>0</v>
      </c>
      <c r="L25" s="58">
        <f t="shared" si="5"/>
        <v>0</v>
      </c>
    </row>
    <row r="26" spans="1:12" ht="14.5" customHeight="1" x14ac:dyDescent="0.3">
      <c r="A26" s="195" t="s">
        <v>304</v>
      </c>
      <c r="B26" s="58">
        <f t="shared" ref="B26:L26" si="6">B21*0.03</f>
        <v>0</v>
      </c>
      <c r="C26" s="58">
        <f t="shared" si="6"/>
        <v>0</v>
      </c>
      <c r="D26" s="58">
        <f t="shared" si="6"/>
        <v>0</v>
      </c>
      <c r="E26" s="58">
        <f t="shared" si="6"/>
        <v>0</v>
      </c>
      <c r="F26" s="58">
        <f t="shared" si="6"/>
        <v>0</v>
      </c>
      <c r="G26" s="58">
        <f t="shared" si="6"/>
        <v>0.16021920255996433</v>
      </c>
      <c r="H26" s="58">
        <f t="shared" si="6"/>
        <v>0.22447755679226147</v>
      </c>
      <c r="I26" s="58">
        <f t="shared" si="6"/>
        <v>0.22287853148284087</v>
      </c>
      <c r="J26" s="58">
        <f t="shared" si="6"/>
        <v>0.22122970719737692</v>
      </c>
      <c r="K26" s="58">
        <f t="shared" si="6"/>
        <v>0</v>
      </c>
      <c r="L26" s="58">
        <f t="shared" si="6"/>
        <v>0</v>
      </c>
    </row>
    <row r="27" spans="1:12" ht="14.5" customHeight="1" x14ac:dyDescent="0.3">
      <c r="A27" s="195" t="s">
        <v>305</v>
      </c>
      <c r="B27" s="58">
        <f t="shared" ref="B27:L27" si="7">B21*0.02</f>
        <v>0</v>
      </c>
      <c r="C27" s="58">
        <f t="shared" si="7"/>
        <v>0</v>
      </c>
      <c r="D27" s="58">
        <f t="shared" si="7"/>
        <v>0</v>
      </c>
      <c r="E27" s="58">
        <f t="shared" si="7"/>
        <v>0</v>
      </c>
      <c r="F27" s="58">
        <f t="shared" si="7"/>
        <v>0</v>
      </c>
      <c r="G27" s="58">
        <f t="shared" si="7"/>
        <v>0.1068128017066429</v>
      </c>
      <c r="H27" s="58">
        <f t="shared" si="7"/>
        <v>0.14965170452817433</v>
      </c>
      <c r="I27" s="58">
        <f t="shared" si="7"/>
        <v>0.14858568765522726</v>
      </c>
      <c r="J27" s="58">
        <f t="shared" si="7"/>
        <v>0.14748647146491795</v>
      </c>
      <c r="K27" s="58">
        <f t="shared" si="7"/>
        <v>0</v>
      </c>
      <c r="L27" s="58">
        <f t="shared" si="7"/>
        <v>0</v>
      </c>
    </row>
    <row r="28" spans="1:12" s="66" customFormat="1" ht="14.5" customHeight="1" x14ac:dyDescent="0.3">
      <c r="A28" s="196" t="s">
        <v>306</v>
      </c>
      <c r="B28" s="65">
        <f t="shared" ref="B28:L28" si="8">B25+B26+B27</f>
        <v>0</v>
      </c>
      <c r="C28" s="65">
        <f t="shared" si="8"/>
        <v>0</v>
      </c>
      <c r="D28" s="65">
        <f t="shared" si="8"/>
        <v>0</v>
      </c>
      <c r="E28" s="65">
        <f t="shared" si="8"/>
        <v>0</v>
      </c>
      <c r="F28" s="65">
        <f t="shared" si="8"/>
        <v>0</v>
      </c>
      <c r="G28" s="65">
        <f t="shared" si="8"/>
        <v>0.64087681023985732</v>
      </c>
      <c r="H28" s="65">
        <f t="shared" si="8"/>
        <v>0.897910227169046</v>
      </c>
      <c r="I28" s="65">
        <f t="shared" si="8"/>
        <v>0.89151412593136359</v>
      </c>
      <c r="J28" s="65">
        <f t="shared" si="8"/>
        <v>0.88491882878950778</v>
      </c>
      <c r="K28" s="65">
        <f t="shared" si="8"/>
        <v>0</v>
      </c>
      <c r="L28" s="65">
        <f t="shared" si="8"/>
        <v>0</v>
      </c>
    </row>
    <row r="30" spans="1:12" ht="14.5" customHeight="1" x14ac:dyDescent="0.3">
      <c r="A30" s="194" t="s">
        <v>238</v>
      </c>
    </row>
    <row r="31" spans="1:12" ht="14.5" customHeight="1" x14ac:dyDescent="0.3">
      <c r="A31" s="195" t="s">
        <v>307</v>
      </c>
      <c r="B31" s="58">
        <f>利润表!B18</f>
        <v>0</v>
      </c>
      <c r="C31" s="58">
        <f>利润表!C18</f>
        <v>12.739728386013162</v>
      </c>
      <c r="D31" s="58">
        <f>利润表!D18</f>
        <v>12.324852841404066</v>
      </c>
      <c r="E31" s="58">
        <f>利润表!E18</f>
        <v>11.917797296517584</v>
      </c>
      <c r="F31" s="58">
        <f>利润表!F18</f>
        <v>11.508600327746031</v>
      </c>
      <c r="G31" s="58">
        <f>利润表!G18</f>
        <v>10.451899259325295</v>
      </c>
      <c r="H31" s="58">
        <f>利润表!H18</f>
        <v>9.7696948590768855</v>
      </c>
      <c r="I31" s="58">
        <f>利润表!I18</f>
        <v>9.339469052208436</v>
      </c>
      <c r="J31" s="58">
        <f>利润表!J18</f>
        <v>8.8964073188428188</v>
      </c>
      <c r="K31" s="58">
        <f>利润表!K18</f>
        <v>0</v>
      </c>
      <c r="L31" s="58">
        <f>利润表!L18</f>
        <v>0</v>
      </c>
    </row>
    <row r="32" spans="1:12" ht="14.5" customHeight="1" x14ac:dyDescent="0.3">
      <c r="A32" s="195" t="s">
        <v>308</v>
      </c>
      <c r="B32" s="58">
        <f t="shared" ref="B32:L32" si="9">B31</f>
        <v>0</v>
      </c>
      <c r="C32" s="58">
        <f t="shared" si="9"/>
        <v>12.739728386013162</v>
      </c>
      <c r="D32" s="58">
        <f t="shared" si="9"/>
        <v>12.324852841404066</v>
      </c>
      <c r="E32" s="58">
        <f t="shared" si="9"/>
        <v>11.917797296517584</v>
      </c>
      <c r="F32" s="58">
        <f t="shared" si="9"/>
        <v>11.508600327746031</v>
      </c>
      <c r="G32" s="58">
        <f t="shared" si="9"/>
        <v>10.451899259325295</v>
      </c>
      <c r="H32" s="58">
        <f t="shared" si="9"/>
        <v>9.7696948590768855</v>
      </c>
      <c r="I32" s="58">
        <f t="shared" si="9"/>
        <v>9.339469052208436</v>
      </c>
      <c r="J32" s="58">
        <f t="shared" si="9"/>
        <v>8.8964073188428188</v>
      </c>
      <c r="K32" s="58">
        <f t="shared" si="9"/>
        <v>0</v>
      </c>
      <c r="L32" s="58">
        <f t="shared" si="9"/>
        <v>0</v>
      </c>
    </row>
    <row r="33" spans="1:12" ht="14.5" customHeight="1" x14ac:dyDescent="0.3">
      <c r="A33" s="195" t="s">
        <v>309</v>
      </c>
      <c r="B33" s="58">
        <v>0</v>
      </c>
      <c r="C33" s="58">
        <f>SUM(B35)</f>
        <v>0</v>
      </c>
      <c r="D33" s="58">
        <f>SUM(B35:C35)</f>
        <v>0</v>
      </c>
      <c r="E33" s="58">
        <f>SUM(B35:D35)</f>
        <v>0</v>
      </c>
      <c r="F33" s="58">
        <f>SUM(B35:E35)</f>
        <v>0</v>
      </c>
      <c r="G33" s="58">
        <f>SUM(B35:F35)</f>
        <v>0</v>
      </c>
      <c r="H33" s="58">
        <f t="shared" ref="H33:L33" si="10">SUM(C35:G35)</f>
        <v>0</v>
      </c>
      <c r="I33" s="58">
        <f t="shared" si="10"/>
        <v>0</v>
      </c>
      <c r="J33" s="58">
        <f t="shared" si="10"/>
        <v>0</v>
      </c>
      <c r="K33" s="58">
        <f t="shared" si="10"/>
        <v>0</v>
      </c>
      <c r="L33" s="58">
        <f t="shared" si="10"/>
        <v>0</v>
      </c>
    </row>
    <row r="34" spans="1:12" ht="14.5" customHeight="1" x14ac:dyDescent="0.3">
      <c r="A34" s="195" t="s">
        <v>310</v>
      </c>
      <c r="B34" s="58">
        <f>0</f>
        <v>0</v>
      </c>
      <c r="C34" s="58">
        <f t="shared" ref="C34:L34" si="11">MIN(B37,C33)</f>
        <v>0</v>
      </c>
      <c r="D34" s="58">
        <f t="shared" si="11"/>
        <v>0</v>
      </c>
      <c r="E34" s="58">
        <f t="shared" si="11"/>
        <v>0</v>
      </c>
      <c r="F34" s="58">
        <f t="shared" si="11"/>
        <v>0</v>
      </c>
      <c r="G34" s="58">
        <f t="shared" si="11"/>
        <v>0</v>
      </c>
      <c r="H34" s="58">
        <f t="shared" si="11"/>
        <v>0</v>
      </c>
      <c r="I34" s="58">
        <f t="shared" si="11"/>
        <v>0</v>
      </c>
      <c r="J34" s="58">
        <f t="shared" si="11"/>
        <v>0</v>
      </c>
      <c r="K34" s="58">
        <f t="shared" si="11"/>
        <v>0</v>
      </c>
      <c r="L34" s="58">
        <f t="shared" si="11"/>
        <v>0</v>
      </c>
    </row>
    <row r="35" spans="1:12" ht="14.5" customHeight="1" x14ac:dyDescent="0.3">
      <c r="A35" s="195" t="s">
        <v>311</v>
      </c>
      <c r="B35" s="58">
        <f t="shared" ref="B35:L35" si="12">IF(B32&lt;0,ABS(B32),0)</f>
        <v>0</v>
      </c>
      <c r="C35" s="58">
        <f t="shared" si="12"/>
        <v>0</v>
      </c>
      <c r="D35" s="58">
        <f t="shared" si="12"/>
        <v>0</v>
      </c>
      <c r="E35" s="58">
        <f t="shared" si="12"/>
        <v>0</v>
      </c>
      <c r="F35" s="58">
        <f t="shared" si="12"/>
        <v>0</v>
      </c>
      <c r="G35" s="58">
        <f t="shared" si="12"/>
        <v>0</v>
      </c>
      <c r="H35" s="58">
        <f t="shared" si="12"/>
        <v>0</v>
      </c>
      <c r="I35" s="58">
        <f t="shared" si="12"/>
        <v>0</v>
      </c>
      <c r="J35" s="58">
        <f t="shared" si="12"/>
        <v>0</v>
      </c>
      <c r="K35" s="58">
        <f t="shared" si="12"/>
        <v>0</v>
      </c>
      <c r="L35" s="58">
        <f t="shared" si="12"/>
        <v>0</v>
      </c>
    </row>
    <row r="36" spans="1:12" ht="14.5" customHeight="1" x14ac:dyDescent="0.3">
      <c r="A36" s="195" t="s">
        <v>312</v>
      </c>
      <c r="B36" s="58">
        <f t="shared" ref="B36:L36" si="13">MAX(0,MIN(B34,B32))</f>
        <v>0</v>
      </c>
      <c r="C36" s="58">
        <f t="shared" si="13"/>
        <v>0</v>
      </c>
      <c r="D36" s="58">
        <f t="shared" si="13"/>
        <v>0</v>
      </c>
      <c r="E36" s="58">
        <f t="shared" si="13"/>
        <v>0</v>
      </c>
      <c r="F36" s="58">
        <f t="shared" si="13"/>
        <v>0</v>
      </c>
      <c r="G36" s="58">
        <f t="shared" si="13"/>
        <v>0</v>
      </c>
      <c r="H36" s="58">
        <f t="shared" si="13"/>
        <v>0</v>
      </c>
      <c r="I36" s="58">
        <f t="shared" si="13"/>
        <v>0</v>
      </c>
      <c r="J36" s="58">
        <f t="shared" si="13"/>
        <v>0</v>
      </c>
      <c r="K36" s="58">
        <f t="shared" si="13"/>
        <v>0</v>
      </c>
      <c r="L36" s="58">
        <f t="shared" si="13"/>
        <v>0</v>
      </c>
    </row>
    <row r="37" spans="1:12" ht="14.5" customHeight="1" x14ac:dyDescent="0.3">
      <c r="A37" s="195" t="s">
        <v>313</v>
      </c>
      <c r="B37" s="58">
        <f t="shared" ref="B37:L37" si="14">B35+B34-B36</f>
        <v>0</v>
      </c>
      <c r="C37" s="58">
        <f t="shared" si="14"/>
        <v>0</v>
      </c>
      <c r="D37" s="58">
        <f t="shared" si="14"/>
        <v>0</v>
      </c>
      <c r="E37" s="58">
        <f t="shared" si="14"/>
        <v>0</v>
      </c>
      <c r="F37" s="58">
        <f t="shared" si="14"/>
        <v>0</v>
      </c>
      <c r="G37" s="58">
        <f t="shared" si="14"/>
        <v>0</v>
      </c>
      <c r="H37" s="58">
        <f t="shared" si="14"/>
        <v>0</v>
      </c>
      <c r="I37" s="58">
        <f t="shared" si="14"/>
        <v>0</v>
      </c>
      <c r="J37" s="58">
        <f t="shared" si="14"/>
        <v>0</v>
      </c>
      <c r="K37" s="58">
        <f t="shared" si="14"/>
        <v>0</v>
      </c>
      <c r="L37" s="58">
        <f t="shared" si="14"/>
        <v>0</v>
      </c>
    </row>
    <row r="38" spans="1:12" s="66" customFormat="1" ht="14.5" customHeight="1" x14ac:dyDescent="0.3">
      <c r="A38" s="196" t="s">
        <v>314</v>
      </c>
      <c r="B38" s="65">
        <f t="shared" ref="B38:L38" si="15">MAX(0,B32-B36)</f>
        <v>0</v>
      </c>
      <c r="C38" s="65">
        <f t="shared" si="15"/>
        <v>12.739728386013162</v>
      </c>
      <c r="D38" s="65">
        <f t="shared" si="15"/>
        <v>12.324852841404066</v>
      </c>
      <c r="E38" s="65">
        <f t="shared" si="15"/>
        <v>11.917797296517584</v>
      </c>
      <c r="F38" s="65">
        <f t="shared" si="15"/>
        <v>11.508600327746031</v>
      </c>
      <c r="G38" s="65">
        <f t="shared" si="15"/>
        <v>10.451899259325295</v>
      </c>
      <c r="H38" s="65">
        <f t="shared" si="15"/>
        <v>9.7696948590768855</v>
      </c>
      <c r="I38" s="65">
        <f t="shared" si="15"/>
        <v>9.339469052208436</v>
      </c>
      <c r="J38" s="65">
        <f t="shared" si="15"/>
        <v>8.8964073188428188</v>
      </c>
      <c r="K38" s="65">
        <f t="shared" si="15"/>
        <v>0</v>
      </c>
      <c r="L38" s="65">
        <f t="shared" si="15"/>
        <v>0</v>
      </c>
    </row>
    <row r="39" spans="1:12" ht="14.5" customHeight="1" x14ac:dyDescent="0.3">
      <c r="A39" s="195" t="s">
        <v>315</v>
      </c>
      <c r="B39" s="67">
        <v>0</v>
      </c>
      <c r="C39" s="67">
        <v>0</v>
      </c>
      <c r="D39" s="67">
        <v>0</v>
      </c>
      <c r="E39" s="67">
        <v>0</v>
      </c>
      <c r="F39" s="67">
        <v>0.125</v>
      </c>
      <c r="G39" s="67">
        <v>0.125</v>
      </c>
      <c r="H39" s="67">
        <v>0.125</v>
      </c>
      <c r="I39" s="67">
        <v>0.25</v>
      </c>
      <c r="J39" s="67">
        <v>0.25</v>
      </c>
      <c r="K39" s="67">
        <v>0.25</v>
      </c>
      <c r="L39" s="67">
        <v>0.25</v>
      </c>
    </row>
    <row r="40" spans="1:12" s="66" customFormat="1" ht="14.5" customHeight="1" x14ac:dyDescent="0.3">
      <c r="A40" s="196" t="s">
        <v>316</v>
      </c>
      <c r="B40" s="65">
        <f t="shared" ref="B40:L40" si="16">MAX(0,B38*B39)</f>
        <v>0</v>
      </c>
      <c r="C40" s="65">
        <f t="shared" si="16"/>
        <v>0</v>
      </c>
      <c r="D40" s="65">
        <f t="shared" si="16"/>
        <v>0</v>
      </c>
      <c r="E40" s="65">
        <f t="shared" si="16"/>
        <v>0</v>
      </c>
      <c r="F40" s="65">
        <f t="shared" si="16"/>
        <v>1.4385750409682538</v>
      </c>
      <c r="G40" s="65">
        <f t="shared" si="16"/>
        <v>1.3064874074156618</v>
      </c>
      <c r="H40" s="65">
        <f t="shared" si="16"/>
        <v>1.2212118573846107</v>
      </c>
      <c r="I40" s="65">
        <f t="shared" si="16"/>
        <v>2.334867263052109</v>
      </c>
      <c r="J40" s="65">
        <f t="shared" si="16"/>
        <v>2.2241018297107047</v>
      </c>
      <c r="K40" s="65">
        <f t="shared" si="16"/>
        <v>0</v>
      </c>
      <c r="L40" s="65">
        <f t="shared" si="16"/>
        <v>0</v>
      </c>
    </row>
    <row r="42" spans="1:12" ht="14.5" customHeight="1" x14ac:dyDescent="0.3"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</row>
    <row r="43" spans="1:12" ht="14.5" customHeight="1" x14ac:dyDescent="0.3"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</row>
    <row r="44" spans="1:12" ht="14.5" customHeight="1" x14ac:dyDescent="0.3"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</row>
    <row r="45" spans="1:12" ht="14.5" customHeight="1" x14ac:dyDescent="0.3"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</row>
    <row r="46" spans="1:12" ht="14.5" customHeight="1" x14ac:dyDescent="0.3"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</row>
    <row r="47" spans="1:12" ht="14.5" customHeight="1" x14ac:dyDescent="0.3"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</row>
    <row r="48" spans="1:12" ht="14.5" customHeight="1" x14ac:dyDescent="0.3"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</row>
    <row r="49" spans="2:12" ht="14.5" customHeight="1" x14ac:dyDescent="0.3"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</row>
    <row r="50" spans="2:12" ht="14.5" customHeight="1" x14ac:dyDescent="0.3"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</row>
    <row r="51" spans="2:12" ht="14.5" customHeight="1" x14ac:dyDescent="0.3"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</row>
    <row r="52" spans="2:12" ht="14.5" customHeight="1" x14ac:dyDescent="0.3"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C357-B9C3-4AE2-80A6-FE80769EF54B}">
  <dimension ref="A1:W43"/>
  <sheetViews>
    <sheetView topLeftCell="A13" zoomScale="85" zoomScaleNormal="85" workbookViewId="0">
      <selection activeCell="D31" sqref="D31"/>
    </sheetView>
  </sheetViews>
  <sheetFormatPr defaultRowHeight="14" x14ac:dyDescent="0.3"/>
  <cols>
    <col min="1" max="1" width="29.58203125" style="55" customWidth="1"/>
    <col min="2" max="12" width="11" style="60" customWidth="1"/>
    <col min="13" max="25" width="11" style="55" customWidth="1"/>
    <col min="26" max="16384" width="8.6640625" style="55"/>
  </cols>
  <sheetData>
    <row r="1" spans="1:23" ht="31" customHeight="1" x14ac:dyDescent="0.3">
      <c r="A1" s="68" t="s">
        <v>239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53"/>
      <c r="N1" s="53"/>
      <c r="O1" s="53"/>
      <c r="P1" s="53"/>
      <c r="Q1" s="53"/>
      <c r="R1" s="53"/>
      <c r="S1" s="53"/>
      <c r="T1" s="53"/>
      <c r="U1" s="53"/>
      <c r="V1" s="53"/>
      <c r="W1" s="54"/>
    </row>
    <row r="3" spans="1:23" ht="14.5" customHeight="1" x14ac:dyDescent="0.3">
      <c r="A3" s="56" t="s">
        <v>228</v>
      </c>
      <c r="B3" s="56" t="s">
        <v>229</v>
      </c>
      <c r="C3" s="56">
        <v>1</v>
      </c>
      <c r="D3" s="56">
        <v>2</v>
      </c>
      <c r="E3" s="56">
        <v>3</v>
      </c>
      <c r="F3" s="56">
        <v>4</v>
      </c>
      <c r="G3" s="56">
        <v>5</v>
      </c>
      <c r="H3" s="56">
        <v>6</v>
      </c>
      <c r="I3" s="56">
        <v>7</v>
      </c>
      <c r="J3" s="56">
        <v>8</v>
      </c>
      <c r="K3" s="56">
        <v>9</v>
      </c>
      <c r="L3" s="56">
        <v>10</v>
      </c>
    </row>
    <row r="4" spans="1:23" ht="14.5" customHeight="1" x14ac:dyDescent="0.3">
      <c r="A4" s="61" t="s">
        <v>240</v>
      </c>
    </row>
    <row r="5" spans="1:23" ht="14.5" customHeight="1" x14ac:dyDescent="0.3">
      <c r="A5" s="57" t="s">
        <v>241</v>
      </c>
      <c r="B5" s="58"/>
      <c r="C5" s="58">
        <f>利润表!C10</f>
        <v>74.054595150355127</v>
      </c>
      <c r="D5" s="58">
        <f>利润表!D10</f>
        <v>73.747059116263543</v>
      </c>
      <c r="E5" s="58">
        <f>利润表!E10</f>
        <v>73.487525513689391</v>
      </c>
      <c r="F5" s="58">
        <f>利润表!F10</f>
        <v>73.254392746015085</v>
      </c>
      <c r="G5" s="58">
        <f>利润表!G10</f>
        <v>73.038812527714995</v>
      </c>
      <c r="H5" s="58">
        <f>利润表!H10</f>
        <v>72.836103974906479</v>
      </c>
      <c r="I5" s="58">
        <f>利润表!I10</f>
        <v>72.643091516372834</v>
      </c>
      <c r="J5" s="58">
        <f>利润表!J10</f>
        <v>72.457888376508507</v>
      </c>
      <c r="K5" s="58">
        <f>利润表!K10</f>
        <v>0</v>
      </c>
      <c r="L5" s="58">
        <f>利润表!L10</f>
        <v>0</v>
      </c>
    </row>
    <row r="6" spans="1:23" ht="14.5" customHeight="1" x14ac:dyDescent="0.3">
      <c r="A6" s="57" t="s">
        <v>242</v>
      </c>
      <c r="B6" s="58"/>
      <c r="C6" s="58">
        <f>MAX(0,税务计算!C10-税务计算!C16-税务计算!C21)</f>
        <v>7.7351683619040266</v>
      </c>
      <c r="D6" s="58">
        <f>MAX(0,税务计算!D10-税务计算!D16-税务计算!D21)</f>
        <v>7.6845266165765427</v>
      </c>
      <c r="E6" s="58">
        <f>MAX(0,税务计算!E10-税务计算!E16-税务计算!E21)</f>
        <v>7.6349343919677173</v>
      </c>
      <c r="F6" s="58">
        <f>MAX(0,税务计算!F10-税务计算!F16-税务计算!F21)</f>
        <v>7.5850970322160922</v>
      </c>
      <c r="G6" s="58">
        <f>MAX(0,税务计算!G10-税务计算!G16-税务计算!G21)</f>
        <v>2.1937916219710001</v>
      </c>
      <c r="H6" s="58">
        <f>MAX(0,税务计算!H10-税务计算!H16-税务计算!H21)</f>
        <v>0</v>
      </c>
      <c r="I6" s="58">
        <f>MAX(0,税务计算!I10-税务计算!I16-税务计算!I21)</f>
        <v>0</v>
      </c>
      <c r="J6" s="58">
        <f>MAX(0,税务计算!J10-税务计算!J16-税务计算!J21)</f>
        <v>0</v>
      </c>
      <c r="K6" s="58">
        <f>MAX(0,税务计算!K10-税务计算!K16-税务计算!K21)</f>
        <v>0</v>
      </c>
      <c r="L6" s="58">
        <f>MAX(0,税务计算!L10-税务计算!L16-税务计算!L21)</f>
        <v>0</v>
      </c>
    </row>
    <row r="7" spans="1:23" ht="14.5" customHeight="1" x14ac:dyDescent="0.3">
      <c r="A7" s="64" t="s">
        <v>243</v>
      </c>
      <c r="B7" s="65"/>
      <c r="C7" s="65">
        <f t="shared" ref="C7:L7" si="0">C5+C6</f>
        <v>81.789763512259157</v>
      </c>
      <c r="D7" s="65">
        <f t="shared" si="0"/>
        <v>81.431585732840091</v>
      </c>
      <c r="E7" s="65">
        <f t="shared" si="0"/>
        <v>81.122459905657109</v>
      </c>
      <c r="F7" s="65">
        <f t="shared" si="0"/>
        <v>80.839489778231183</v>
      </c>
      <c r="G7" s="65">
        <f t="shared" si="0"/>
        <v>75.232604149685997</v>
      </c>
      <c r="H7" s="65">
        <f t="shared" si="0"/>
        <v>72.836103974906479</v>
      </c>
      <c r="I7" s="65">
        <f t="shared" si="0"/>
        <v>72.643091516372834</v>
      </c>
      <c r="J7" s="65">
        <f t="shared" si="0"/>
        <v>72.457888376508507</v>
      </c>
      <c r="K7" s="65">
        <f t="shared" si="0"/>
        <v>0</v>
      </c>
      <c r="L7" s="65">
        <f t="shared" si="0"/>
        <v>0</v>
      </c>
    </row>
    <row r="8" spans="1:23" ht="14.5" customHeight="1" x14ac:dyDescent="0.3">
      <c r="A8" s="57" t="s">
        <v>244</v>
      </c>
      <c r="B8" s="58"/>
      <c r="C8" s="58">
        <f>-税务计算!C28</f>
        <v>0</v>
      </c>
      <c r="D8" s="58">
        <f>-税务计算!D28</f>
        <v>0</v>
      </c>
      <c r="E8" s="58">
        <f>-税务计算!E28</f>
        <v>0</v>
      </c>
      <c r="F8" s="58">
        <f>-税务计算!F28</f>
        <v>0</v>
      </c>
      <c r="G8" s="58">
        <f>-税务计算!G28</f>
        <v>-0.64087681023985732</v>
      </c>
      <c r="H8" s="58">
        <f>-税务计算!H28</f>
        <v>-0.897910227169046</v>
      </c>
      <c r="I8" s="58">
        <f>-税务计算!I28</f>
        <v>-0.89151412593136359</v>
      </c>
      <c r="J8" s="58">
        <f>-税务计算!J28</f>
        <v>-0.88491882878950778</v>
      </c>
      <c r="K8" s="58">
        <f>-税务计算!K28</f>
        <v>0</v>
      </c>
      <c r="L8" s="58">
        <f>-税务计算!L28</f>
        <v>0</v>
      </c>
    </row>
    <row r="9" spans="1:23" ht="14.5" customHeight="1" x14ac:dyDescent="0.3">
      <c r="A9" s="57" t="s">
        <v>245</v>
      </c>
      <c r="B9" s="58"/>
      <c r="C9" s="58">
        <f>-税务计算!C40</f>
        <v>0</v>
      </c>
      <c r="D9" s="58">
        <f>-税务计算!D40</f>
        <v>0</v>
      </c>
      <c r="E9" s="58">
        <f>-税务计算!E40</f>
        <v>0</v>
      </c>
      <c r="F9" s="58">
        <f>-税务计算!F40</f>
        <v>-1.4385750409682538</v>
      </c>
      <c r="G9" s="58">
        <f>-税务计算!G40</f>
        <v>-1.3064874074156618</v>
      </c>
      <c r="H9" s="58">
        <f>-税务计算!H40</f>
        <v>-1.2212118573846107</v>
      </c>
      <c r="I9" s="58">
        <f>-税务计算!I40</f>
        <v>-2.334867263052109</v>
      </c>
      <c r="J9" s="58">
        <f>-税务计算!J40</f>
        <v>-2.2241018297107047</v>
      </c>
      <c r="K9" s="58">
        <f>-税务计算!K40</f>
        <v>0</v>
      </c>
      <c r="L9" s="58">
        <f>-税务计算!L40</f>
        <v>0</v>
      </c>
    </row>
    <row r="10" spans="1:23" ht="14.5" customHeight="1" x14ac:dyDescent="0.3">
      <c r="A10" s="57" t="s">
        <v>319</v>
      </c>
      <c r="B10" s="58"/>
      <c r="C10" s="58">
        <f>-利润表!C12</f>
        <v>-6.0245839299584052</v>
      </c>
      <c r="D10" s="58">
        <f>-利润表!D12</f>
        <v>-5.8498475469518185</v>
      </c>
      <c r="E10" s="58">
        <f>-利润表!E12</f>
        <v>-5.7023852727619655</v>
      </c>
      <c r="F10" s="58">
        <f>-利润表!F12</f>
        <v>-5.5699234729470195</v>
      </c>
      <c r="G10" s="58">
        <f>-利润表!G12</f>
        <v>-5.4474347125492404</v>
      </c>
      <c r="H10" s="58">
        <f>-利润表!H12</f>
        <v>-5.3322593984534876</v>
      </c>
      <c r="I10" s="58">
        <f>-利润表!I12</f>
        <v>-5.222593228832098</v>
      </c>
      <c r="J10" s="58">
        <f>-利润表!J12</f>
        <v>-5.1173641720910048</v>
      </c>
      <c r="K10" s="58">
        <f>-利润表!K12</f>
        <v>0</v>
      </c>
      <c r="L10" s="58">
        <f>-利润表!L12</f>
        <v>0</v>
      </c>
    </row>
    <row r="11" spans="1:23" ht="14.5" customHeight="1" x14ac:dyDescent="0.3">
      <c r="A11" s="57" t="s">
        <v>246</v>
      </c>
      <c r="B11" s="58"/>
      <c r="C11" s="58">
        <f>-利润表!C14</f>
        <v>-14.594472587462983</v>
      </c>
      <c r="D11" s="58">
        <f>-利润表!D14</f>
        <v>-14.876548480987076</v>
      </c>
      <c r="E11" s="58">
        <f>-利润表!E14</f>
        <v>-15.171532697489258</v>
      </c>
      <c r="F11" s="58">
        <f>-利润表!F14</f>
        <v>-15.480058698401459</v>
      </c>
      <c r="G11" s="58">
        <f>-利润表!G14</f>
        <v>-15.802791498680023</v>
      </c>
      <c r="H11" s="58">
        <f>-利润表!H14</f>
        <v>-16.140429243286476</v>
      </c>
      <c r="I11" s="58">
        <f>-利润表!I14</f>
        <v>-16.493704862480357</v>
      </c>
      <c r="J11" s="58">
        <f>-利润表!J14</f>
        <v>-16.863387809864602</v>
      </c>
      <c r="K11" s="58">
        <f>-利润表!K14</f>
        <v>0</v>
      </c>
      <c r="L11" s="58">
        <f>-利润表!L14</f>
        <v>0</v>
      </c>
    </row>
    <row r="12" spans="1:23" ht="14.5" customHeight="1" x14ac:dyDescent="0.3">
      <c r="A12" s="64" t="s">
        <v>247</v>
      </c>
      <c r="B12" s="65"/>
      <c r="C12" s="65">
        <f>C8+C9+C11+C10</f>
        <v>-20.619056517421388</v>
      </c>
      <c r="D12" s="65">
        <f t="shared" ref="D12:L12" si="1">D8+D9+D11+D10</f>
        <v>-20.726396027938893</v>
      </c>
      <c r="E12" s="65">
        <f t="shared" si="1"/>
        <v>-20.873917970251224</v>
      </c>
      <c r="F12" s="65">
        <f t="shared" si="1"/>
        <v>-22.488557212316735</v>
      </c>
      <c r="G12" s="65">
        <f t="shared" si="1"/>
        <v>-23.19759042888478</v>
      </c>
      <c r="H12" s="65">
        <f t="shared" si="1"/>
        <v>-23.59181072629362</v>
      </c>
      <c r="I12" s="65">
        <f t="shared" si="1"/>
        <v>-24.942679480295929</v>
      </c>
      <c r="J12" s="65">
        <f t="shared" si="1"/>
        <v>-25.08977264045582</v>
      </c>
      <c r="K12" s="65">
        <f t="shared" si="1"/>
        <v>0</v>
      </c>
      <c r="L12" s="65">
        <f t="shared" si="1"/>
        <v>0</v>
      </c>
    </row>
    <row r="13" spans="1:23" ht="14.5" customHeight="1" x14ac:dyDescent="0.3">
      <c r="A13" s="64" t="s">
        <v>248</v>
      </c>
      <c r="B13" s="65"/>
      <c r="C13" s="65">
        <f t="shared" ref="C13:L13" si="2">C12+C7</f>
        <v>61.170706994837772</v>
      </c>
      <c r="D13" s="65">
        <f t="shared" si="2"/>
        <v>60.705189704901201</v>
      </c>
      <c r="E13" s="65">
        <f t="shared" si="2"/>
        <v>60.248541935405882</v>
      </c>
      <c r="F13" s="65">
        <f t="shared" si="2"/>
        <v>58.350932565914448</v>
      </c>
      <c r="G13" s="65">
        <f t="shared" si="2"/>
        <v>52.035013720801217</v>
      </c>
      <c r="H13" s="65">
        <f t="shared" si="2"/>
        <v>49.244293248612863</v>
      </c>
      <c r="I13" s="65">
        <f t="shared" si="2"/>
        <v>47.700412036076905</v>
      </c>
      <c r="J13" s="65">
        <f t="shared" si="2"/>
        <v>47.368115736052687</v>
      </c>
      <c r="K13" s="65">
        <f t="shared" si="2"/>
        <v>0</v>
      </c>
      <c r="L13" s="65">
        <f t="shared" si="2"/>
        <v>0</v>
      </c>
    </row>
    <row r="14" spans="1:23" ht="14.5" customHeight="1" x14ac:dyDescent="0.3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</row>
    <row r="15" spans="1:23" ht="14.5" customHeight="1" x14ac:dyDescent="0.3">
      <c r="A15" s="61" t="s">
        <v>249</v>
      </c>
    </row>
    <row r="16" spans="1:23" ht="14.5" customHeight="1" x14ac:dyDescent="0.3">
      <c r="A16" s="57" t="s">
        <v>250</v>
      </c>
      <c r="B16" s="58">
        <f>IF(B3=输入!$C$17,输入!$O$17*输入!$C$18,0)</f>
        <v>0</v>
      </c>
      <c r="C16" s="58">
        <f>IF(C3=输入!$C$17,输入!$O$17*输入!$C$18,0)</f>
        <v>0</v>
      </c>
      <c r="D16" s="58">
        <f>IF(D3=输入!$C$17,输入!$O$17*输入!$C$18,0)</f>
        <v>0</v>
      </c>
      <c r="E16" s="58">
        <f>IF(E3=输入!$C$17,输入!$O$17*输入!$C$18,0)</f>
        <v>0</v>
      </c>
      <c r="F16" s="58">
        <f>IF(F3=输入!$C$17,输入!$O$17*输入!$C$18,0)</f>
        <v>0</v>
      </c>
      <c r="G16" s="58">
        <f>IF(G3=输入!$C$17,输入!$O$17*输入!$C$18,0)</f>
        <v>0</v>
      </c>
      <c r="H16" s="58">
        <f>IF(H3=输入!$C$17,输入!$O$17*输入!$C$18,0)</f>
        <v>0</v>
      </c>
      <c r="I16" s="58">
        <f>IF(I3=输入!$C$17,输入!$O$17*输入!$C$18,0)</f>
        <v>0</v>
      </c>
      <c r="J16" s="58">
        <f>IF(J3=输入!$C$17,输入!$O$17*输入!$C$18,0)</f>
        <v>0</v>
      </c>
      <c r="K16" s="58">
        <f>IF(K3=输入!$C$17,输入!$O$17*输入!$C$18,0)</f>
        <v>0</v>
      </c>
      <c r="L16" s="58">
        <f>IF(L3=输入!$C$17,输入!$O$17*输入!$C$18,0)</f>
        <v>0</v>
      </c>
    </row>
    <row r="17" spans="1:12" ht="14.5" customHeight="1" x14ac:dyDescent="0.3">
      <c r="A17" s="57" t="s">
        <v>251</v>
      </c>
      <c r="B17" s="58">
        <f t="shared" ref="B17:L17" si="3">B16</f>
        <v>0</v>
      </c>
      <c r="C17" s="58">
        <f t="shared" si="3"/>
        <v>0</v>
      </c>
      <c r="D17" s="58">
        <f t="shared" si="3"/>
        <v>0</v>
      </c>
      <c r="E17" s="58">
        <f t="shared" si="3"/>
        <v>0</v>
      </c>
      <c r="F17" s="58">
        <f t="shared" si="3"/>
        <v>0</v>
      </c>
      <c r="G17" s="58">
        <f t="shared" si="3"/>
        <v>0</v>
      </c>
      <c r="H17" s="58">
        <f t="shared" si="3"/>
        <v>0</v>
      </c>
      <c r="I17" s="58">
        <f t="shared" si="3"/>
        <v>0</v>
      </c>
      <c r="J17" s="58">
        <f t="shared" si="3"/>
        <v>0</v>
      </c>
      <c r="K17" s="58">
        <f t="shared" si="3"/>
        <v>0</v>
      </c>
      <c r="L17" s="58">
        <f t="shared" si="3"/>
        <v>0</v>
      </c>
    </row>
    <row r="18" spans="1:12" ht="14.5" customHeight="1" x14ac:dyDescent="0.3">
      <c r="A18" s="57" t="s">
        <v>252</v>
      </c>
      <c r="B18" s="58">
        <f>-输入!$M$17</f>
        <v>-358.4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</row>
    <row r="19" spans="1:12" ht="14.5" customHeight="1" x14ac:dyDescent="0.3">
      <c r="A19" s="57" t="s">
        <v>253</v>
      </c>
      <c r="B19" s="58">
        <f t="shared" ref="B19:L19" si="4">B18</f>
        <v>-358.4</v>
      </c>
      <c r="C19" s="58">
        <f t="shared" si="4"/>
        <v>0</v>
      </c>
      <c r="D19" s="58">
        <f t="shared" si="4"/>
        <v>0</v>
      </c>
      <c r="E19" s="58">
        <f t="shared" si="4"/>
        <v>0</v>
      </c>
      <c r="F19" s="58">
        <f t="shared" si="4"/>
        <v>0</v>
      </c>
      <c r="G19" s="58">
        <f t="shared" si="4"/>
        <v>0</v>
      </c>
      <c r="H19" s="58">
        <f t="shared" si="4"/>
        <v>0</v>
      </c>
      <c r="I19" s="58">
        <f t="shared" si="4"/>
        <v>0</v>
      </c>
      <c r="J19" s="58">
        <f t="shared" si="4"/>
        <v>0</v>
      </c>
      <c r="K19" s="58">
        <f t="shared" si="4"/>
        <v>0</v>
      </c>
      <c r="L19" s="58">
        <f t="shared" si="4"/>
        <v>0</v>
      </c>
    </row>
    <row r="20" spans="1:12" ht="14.5" customHeight="1" x14ac:dyDescent="0.3">
      <c r="A20" s="64" t="s">
        <v>254</v>
      </c>
      <c r="B20" s="65">
        <f t="shared" ref="B20:L20" si="5">B19+B17</f>
        <v>-358.4</v>
      </c>
      <c r="C20" s="65">
        <f t="shared" si="5"/>
        <v>0</v>
      </c>
      <c r="D20" s="65">
        <f t="shared" si="5"/>
        <v>0</v>
      </c>
      <c r="E20" s="65">
        <f t="shared" si="5"/>
        <v>0</v>
      </c>
      <c r="F20" s="65">
        <f t="shared" si="5"/>
        <v>0</v>
      </c>
      <c r="G20" s="65">
        <f t="shared" si="5"/>
        <v>0</v>
      </c>
      <c r="H20" s="65">
        <f t="shared" si="5"/>
        <v>0</v>
      </c>
      <c r="I20" s="65">
        <f t="shared" si="5"/>
        <v>0</v>
      </c>
      <c r="J20" s="65">
        <f t="shared" si="5"/>
        <v>0</v>
      </c>
      <c r="K20" s="65">
        <f t="shared" si="5"/>
        <v>0</v>
      </c>
      <c r="L20" s="65">
        <f t="shared" si="5"/>
        <v>0</v>
      </c>
    </row>
    <row r="21" spans="1:12" ht="14.5" customHeight="1" x14ac:dyDescent="0.3">
      <c r="A21" s="57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</row>
    <row r="22" spans="1:12" ht="14.5" customHeight="1" x14ac:dyDescent="0.3">
      <c r="A22" s="61" t="s">
        <v>255</v>
      </c>
    </row>
    <row r="23" spans="1:12" ht="14.5" customHeight="1" x14ac:dyDescent="0.3">
      <c r="A23" s="57" t="s">
        <v>256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</row>
    <row r="24" spans="1:12" ht="14.5" customHeight="1" x14ac:dyDescent="0.3">
      <c r="A24" s="57" t="s">
        <v>257</v>
      </c>
      <c r="B24" s="58">
        <f t="shared" ref="B24:L24" si="6">B23</f>
        <v>0</v>
      </c>
      <c r="C24" s="58">
        <f t="shared" si="6"/>
        <v>0</v>
      </c>
      <c r="D24" s="58">
        <f t="shared" si="6"/>
        <v>0</v>
      </c>
      <c r="E24" s="58">
        <f t="shared" si="6"/>
        <v>0</v>
      </c>
      <c r="F24" s="58">
        <f t="shared" si="6"/>
        <v>0</v>
      </c>
      <c r="G24" s="58">
        <f t="shared" si="6"/>
        <v>0</v>
      </c>
      <c r="H24" s="58">
        <f t="shared" si="6"/>
        <v>0</v>
      </c>
      <c r="I24" s="58">
        <f t="shared" si="6"/>
        <v>0</v>
      </c>
      <c r="J24" s="58">
        <f t="shared" si="6"/>
        <v>0</v>
      </c>
      <c r="K24" s="58">
        <f t="shared" si="6"/>
        <v>0</v>
      </c>
      <c r="L24" s="58">
        <f t="shared" si="6"/>
        <v>0</v>
      </c>
    </row>
    <row r="25" spans="1:12" ht="14.5" customHeight="1" x14ac:dyDescent="0.3">
      <c r="A25" s="57" t="s">
        <v>258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</row>
    <row r="26" spans="1:12" ht="14.5" customHeight="1" x14ac:dyDescent="0.3">
      <c r="A26" s="57" t="s">
        <v>259</v>
      </c>
      <c r="B26" s="58">
        <f t="shared" ref="B26:L26" si="7">B25</f>
        <v>0</v>
      </c>
      <c r="C26" s="58">
        <f t="shared" si="7"/>
        <v>0</v>
      </c>
      <c r="D26" s="58">
        <f t="shared" si="7"/>
        <v>0</v>
      </c>
      <c r="E26" s="58">
        <f t="shared" si="7"/>
        <v>0</v>
      </c>
      <c r="F26" s="58">
        <f t="shared" si="7"/>
        <v>0</v>
      </c>
      <c r="G26" s="58">
        <f t="shared" si="7"/>
        <v>0</v>
      </c>
      <c r="H26" s="58">
        <f t="shared" si="7"/>
        <v>0</v>
      </c>
      <c r="I26" s="58">
        <f t="shared" si="7"/>
        <v>0</v>
      </c>
      <c r="J26" s="58">
        <f t="shared" si="7"/>
        <v>0</v>
      </c>
      <c r="K26" s="58">
        <f t="shared" si="7"/>
        <v>0</v>
      </c>
      <c r="L26" s="58">
        <f t="shared" si="7"/>
        <v>0</v>
      </c>
    </row>
    <row r="27" spans="1:12" ht="14.5" customHeight="1" x14ac:dyDescent="0.3">
      <c r="A27" s="64" t="s">
        <v>260</v>
      </c>
      <c r="B27" s="65">
        <f t="shared" ref="B27:L27" si="8">B24+B26</f>
        <v>0</v>
      </c>
      <c r="C27" s="65">
        <f t="shared" si="8"/>
        <v>0</v>
      </c>
      <c r="D27" s="65">
        <f t="shared" si="8"/>
        <v>0</v>
      </c>
      <c r="E27" s="65">
        <f t="shared" si="8"/>
        <v>0</v>
      </c>
      <c r="F27" s="65">
        <f t="shared" si="8"/>
        <v>0</v>
      </c>
      <c r="G27" s="65">
        <f t="shared" si="8"/>
        <v>0</v>
      </c>
      <c r="H27" s="65">
        <f t="shared" si="8"/>
        <v>0</v>
      </c>
      <c r="I27" s="65">
        <f t="shared" si="8"/>
        <v>0</v>
      </c>
      <c r="J27" s="65">
        <f t="shared" si="8"/>
        <v>0</v>
      </c>
      <c r="K27" s="65">
        <f t="shared" si="8"/>
        <v>0</v>
      </c>
      <c r="L27" s="65">
        <f t="shared" si="8"/>
        <v>0</v>
      </c>
    </row>
    <row r="28" spans="1:12" ht="14.5" customHeight="1" x14ac:dyDescent="0.3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</row>
    <row r="29" spans="1:12" ht="14.5" customHeight="1" x14ac:dyDescent="0.3">
      <c r="A29" s="61" t="s">
        <v>261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</row>
    <row r="30" spans="1:12" ht="14.5" customHeight="1" x14ac:dyDescent="0.3">
      <c r="A30" s="57" t="s">
        <v>262</v>
      </c>
      <c r="B30" s="58">
        <v>0</v>
      </c>
      <c r="C30" s="58">
        <f>IF(C$3&gt;输入!$C$9,0,B32)</f>
        <v>-358.4</v>
      </c>
      <c r="D30" s="58">
        <f>IF(D$3&gt;输入!$C$9,0,C32)</f>
        <v>-297.22929300516222</v>
      </c>
      <c r="E30" s="58">
        <f>IF(E$3&gt;输入!$C$9,0,D32)</f>
        <v>-236.524103300261</v>
      </c>
      <c r="F30" s="58">
        <f>IF(F$3&gt;输入!$C$9,0,E32)</f>
        <v>-176.27556136485512</v>
      </c>
      <c r="G30" s="58">
        <f>IF(G$3&gt;输入!$C$9,0,F32)</f>
        <v>-117.92462879894067</v>
      </c>
      <c r="H30" s="58">
        <f>IF(H$3&gt;输入!$C$9,0,G32)</f>
        <v>-65.889615078139457</v>
      </c>
      <c r="I30" s="58">
        <f>IF(I$3&gt;输入!$C$9,0,H32)</f>
        <v>-16.645321829526594</v>
      </c>
      <c r="J30" s="58">
        <f>IF(J$3&gt;输入!$C$9,0,I32)</f>
        <v>31.055090206550311</v>
      </c>
      <c r="K30" s="58">
        <f>IF(K$3&gt;输入!$C$9,0,J32)</f>
        <v>0</v>
      </c>
      <c r="L30" s="58">
        <f>IF(L$3&gt;输入!$C$9,0,K32)</f>
        <v>0</v>
      </c>
    </row>
    <row r="31" spans="1:12" s="66" customFormat="1" ht="14.5" customHeight="1" x14ac:dyDescent="0.3">
      <c r="A31" s="64" t="s">
        <v>263</v>
      </c>
      <c r="B31" s="65">
        <f t="shared" ref="B31:L31" si="9">B13+B20+B27</f>
        <v>-358.4</v>
      </c>
      <c r="C31" s="65">
        <f>C13+C20+C27</f>
        <v>61.170706994837772</v>
      </c>
      <c r="D31" s="65">
        <f t="shared" si="9"/>
        <v>60.705189704901201</v>
      </c>
      <c r="E31" s="65">
        <f t="shared" si="9"/>
        <v>60.248541935405882</v>
      </c>
      <c r="F31" s="65">
        <f t="shared" si="9"/>
        <v>58.350932565914448</v>
      </c>
      <c r="G31" s="65">
        <f t="shared" si="9"/>
        <v>52.035013720801217</v>
      </c>
      <c r="H31" s="65">
        <f t="shared" si="9"/>
        <v>49.244293248612863</v>
      </c>
      <c r="I31" s="65">
        <f t="shared" si="9"/>
        <v>47.700412036076905</v>
      </c>
      <c r="J31" s="65">
        <f t="shared" si="9"/>
        <v>47.368115736052687</v>
      </c>
      <c r="K31" s="65">
        <f t="shared" si="9"/>
        <v>0</v>
      </c>
      <c r="L31" s="65">
        <f t="shared" si="9"/>
        <v>0</v>
      </c>
    </row>
    <row r="32" spans="1:12" ht="14.5" customHeight="1" x14ac:dyDescent="0.3">
      <c r="A32" s="57" t="s">
        <v>264</v>
      </c>
      <c r="B32" s="58">
        <f t="shared" ref="B32:L32" si="10">B30+B31</f>
        <v>-358.4</v>
      </c>
      <c r="C32" s="58">
        <f t="shared" si="10"/>
        <v>-297.22929300516222</v>
      </c>
      <c r="D32" s="58">
        <f t="shared" si="10"/>
        <v>-236.524103300261</v>
      </c>
      <c r="E32" s="58">
        <f t="shared" si="10"/>
        <v>-176.27556136485512</v>
      </c>
      <c r="F32" s="58">
        <f t="shared" si="10"/>
        <v>-117.92462879894067</v>
      </c>
      <c r="G32" s="58">
        <f t="shared" si="10"/>
        <v>-65.889615078139457</v>
      </c>
      <c r="H32" s="58">
        <f t="shared" si="10"/>
        <v>-16.645321829526594</v>
      </c>
      <c r="I32" s="58">
        <f t="shared" si="10"/>
        <v>31.055090206550311</v>
      </c>
      <c r="J32" s="58">
        <f t="shared" si="10"/>
        <v>78.423205942603005</v>
      </c>
      <c r="K32" s="58">
        <f t="shared" si="10"/>
        <v>0</v>
      </c>
      <c r="L32" s="58">
        <f t="shared" si="10"/>
        <v>0</v>
      </c>
    </row>
    <row r="33" spans="1:12" ht="14.5" customHeight="1" x14ac:dyDescent="0.3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2" ht="14.5" customHeight="1" x14ac:dyDescent="0.3">
      <c r="A34" s="57" t="s">
        <v>282</v>
      </c>
      <c r="B34" s="129">
        <f>输入!$C$5</f>
        <v>46265</v>
      </c>
      <c r="C34" s="129">
        <f>输入!$C$7</f>
        <v>46388</v>
      </c>
      <c r="D34" s="129">
        <f>DATE(YEAR(C34)+1,1,1)</f>
        <v>46753</v>
      </c>
      <c r="E34" s="129">
        <f t="shared" ref="E34:L34" si="11">DATE(YEAR(D34)+1,1,1)</f>
        <v>47119</v>
      </c>
      <c r="F34" s="129">
        <f t="shared" si="11"/>
        <v>47484</v>
      </c>
      <c r="G34" s="129">
        <f t="shared" si="11"/>
        <v>47849</v>
      </c>
      <c r="H34" s="129">
        <f t="shared" si="11"/>
        <v>48214</v>
      </c>
      <c r="I34" s="129">
        <f t="shared" si="11"/>
        <v>48580</v>
      </c>
      <c r="J34" s="129">
        <f t="shared" si="11"/>
        <v>48945</v>
      </c>
      <c r="K34" s="129">
        <f t="shared" si="11"/>
        <v>49310</v>
      </c>
      <c r="L34" s="129">
        <f t="shared" si="11"/>
        <v>49675</v>
      </c>
    </row>
    <row r="35" spans="1:12" ht="14.5" customHeight="1" x14ac:dyDescent="0.3">
      <c r="A35" s="57" t="s">
        <v>265</v>
      </c>
      <c r="B35" s="58">
        <f t="shared" ref="B35:L35" si="12">B13+B20</f>
        <v>-358.4</v>
      </c>
      <c r="C35" s="58">
        <f>C13+C20</f>
        <v>61.170706994837772</v>
      </c>
      <c r="D35" s="58">
        <f t="shared" si="12"/>
        <v>60.705189704901201</v>
      </c>
      <c r="E35" s="58">
        <f t="shared" si="12"/>
        <v>60.248541935405882</v>
      </c>
      <c r="F35" s="58">
        <f t="shared" si="12"/>
        <v>58.350932565914448</v>
      </c>
      <c r="G35" s="58">
        <f t="shared" si="12"/>
        <v>52.035013720801217</v>
      </c>
      <c r="H35" s="58">
        <f t="shared" si="12"/>
        <v>49.244293248612863</v>
      </c>
      <c r="I35" s="58">
        <f t="shared" si="12"/>
        <v>47.700412036076905</v>
      </c>
      <c r="J35" s="58">
        <f t="shared" si="12"/>
        <v>47.368115736052687</v>
      </c>
      <c r="K35" s="58">
        <f t="shared" si="12"/>
        <v>0</v>
      </c>
      <c r="L35" s="58">
        <f t="shared" si="12"/>
        <v>0</v>
      </c>
    </row>
    <row r="36" spans="1:12" ht="14.5" customHeight="1" x14ac:dyDescent="0.3">
      <c r="A36" s="57" t="s">
        <v>266</v>
      </c>
      <c r="B36" s="58">
        <f>SUM($B35:B35)</f>
        <v>-358.4</v>
      </c>
      <c r="C36" s="58">
        <f>SUM($B35:C35)</f>
        <v>-297.22929300516222</v>
      </c>
      <c r="D36" s="58">
        <f>SUM($B35:D35)</f>
        <v>-236.524103300261</v>
      </c>
      <c r="E36" s="58">
        <f>SUM($B35:E35)</f>
        <v>-176.27556136485512</v>
      </c>
      <c r="F36" s="58">
        <f>SUM($B35:F35)</f>
        <v>-117.92462879894067</v>
      </c>
      <c r="G36" s="58">
        <f>SUM($B35:G35)</f>
        <v>-65.889615078139457</v>
      </c>
      <c r="H36" s="58">
        <f>SUM($B35:H35)</f>
        <v>-16.645321829526594</v>
      </c>
      <c r="I36" s="58">
        <f>SUM($B35:I35)</f>
        <v>31.055090206550311</v>
      </c>
      <c r="J36" s="58">
        <f>SUM($B35:J35)</f>
        <v>78.423205942603005</v>
      </c>
      <c r="K36" s="58">
        <f>SUM($B35:K35)</f>
        <v>78.423205942603005</v>
      </c>
      <c r="L36" s="58">
        <f>SUM($B35:L35)</f>
        <v>78.423205942603005</v>
      </c>
    </row>
    <row r="38" spans="1:12" ht="14.5" customHeight="1" x14ac:dyDescent="0.3">
      <c r="A38" s="61" t="s">
        <v>295</v>
      </c>
    </row>
    <row r="39" spans="1:12" ht="14.5" customHeight="1" x14ac:dyDescent="0.3">
      <c r="A39" s="57" t="s">
        <v>267</v>
      </c>
      <c r="C39" s="58" cm="1">
        <f t="array" ref="C39">IFERROR(MATCH(0,$C$36:$L$36,1)-INDEX($C$36:$L$36,,MATCH(0,$C$36:$L$36,1))/INDEX($C$35:$L$35,,MATCH(0,$C$36:$L$36,1)+1)+YEARFRAC($B$34,$C$34,2),"无法回收")</f>
        <v>6.6906221812843887</v>
      </c>
      <c r="D39" s="58"/>
      <c r="E39" s="58"/>
      <c r="F39" s="58"/>
      <c r="G39" s="58"/>
      <c r="H39" s="58"/>
      <c r="I39" s="58"/>
      <c r="J39" s="58"/>
      <c r="K39" s="58"/>
      <c r="L39" s="58"/>
    </row>
    <row r="40" spans="1:12" ht="14.5" customHeight="1" x14ac:dyDescent="0.3">
      <c r="A40" s="57" t="str">
        <f>"  2.运营期NPV（折现率"&amp;TEXT(B40,"#.0%")&amp;"，万元）"</f>
        <v xml:space="preserve">  2.运营期NPV（折现率8.0%，万元）</v>
      </c>
      <c r="B40" s="227">
        <f>输入!B56</f>
        <v>0.08</v>
      </c>
      <c r="C40" s="58">
        <f>XNPV($B$40,B35:L35,B34:L34)</f>
        <v>-22.472488432985443</v>
      </c>
      <c r="D40" s="58"/>
      <c r="E40" s="58"/>
      <c r="F40" s="58"/>
      <c r="G40" s="58"/>
      <c r="H40" s="58"/>
      <c r="I40" s="58"/>
      <c r="J40" s="69"/>
      <c r="K40" s="58"/>
      <c r="L40" s="58"/>
    </row>
    <row r="41" spans="1:12" ht="14.5" customHeight="1" x14ac:dyDescent="0.3">
      <c r="A41" s="57" t="s">
        <v>283</v>
      </c>
      <c r="C41" s="70">
        <f>XIRR(B35:L35,B34:L34,$B$40)</f>
        <v>5.8809275627136226E-2</v>
      </c>
      <c r="D41" s="58"/>
      <c r="E41" s="58"/>
      <c r="F41" s="58"/>
      <c r="G41" s="58"/>
      <c r="H41" s="58"/>
      <c r="I41" s="58"/>
      <c r="J41" s="58"/>
      <c r="K41" s="58"/>
      <c r="L41" s="58"/>
    </row>
    <row r="42" spans="1:12" ht="14.5" customHeight="1" x14ac:dyDescent="0.3">
      <c r="A42" s="57" t="s">
        <v>284</v>
      </c>
      <c r="C42" s="58">
        <f>IF(B35&lt;0,NPV($B$40,C35:L35)/(-B35),"N/A")</f>
        <v>0.89082599581458954</v>
      </c>
      <c r="D42" s="58"/>
      <c r="E42" s="58"/>
      <c r="F42" s="58"/>
      <c r="G42" s="58"/>
      <c r="H42" s="58"/>
      <c r="I42" s="58"/>
      <c r="J42" s="58"/>
      <c r="K42" s="58"/>
      <c r="L42" s="58"/>
    </row>
    <row r="43" spans="1:12" ht="14.5" customHeight="1" x14ac:dyDescent="0.3">
      <c r="A43" s="57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81051-3430-46AF-9BCC-D3CA58F1EA8B}">
  <dimension ref="A1:N17"/>
  <sheetViews>
    <sheetView zoomScaleNormal="100" workbookViewId="0">
      <selection activeCell="D13" sqref="D13"/>
    </sheetView>
  </sheetViews>
  <sheetFormatPr defaultRowHeight="14" x14ac:dyDescent="0.3"/>
  <cols>
    <col min="1" max="1" width="12.6640625" customWidth="1"/>
    <col min="2" max="2" width="16.25" customWidth="1"/>
    <col min="3" max="3" width="20.9140625" customWidth="1"/>
    <col min="4" max="4" width="17.58203125" customWidth="1"/>
    <col min="7" max="7" width="12.25" customWidth="1"/>
    <col min="8" max="8" width="27.4140625" customWidth="1"/>
    <col min="10" max="10" width="74.83203125" customWidth="1"/>
  </cols>
  <sheetData>
    <row r="1" spans="1:14" ht="15" x14ac:dyDescent="0.4">
      <c r="A1" s="5" t="s">
        <v>45</v>
      </c>
      <c r="B1" s="35" t="s">
        <v>46</v>
      </c>
      <c r="C1" s="35" t="s">
        <v>47</v>
      </c>
      <c r="D1" s="36" t="s">
        <v>92</v>
      </c>
      <c r="E1" s="37" t="s">
        <v>49</v>
      </c>
      <c r="F1" s="8" t="s">
        <v>50</v>
      </c>
      <c r="G1" s="8" t="s">
        <v>51</v>
      </c>
      <c r="H1" s="41" t="s">
        <v>121</v>
      </c>
      <c r="J1" s="9" t="s">
        <v>122</v>
      </c>
      <c r="L1" s="10"/>
      <c r="M1" s="11"/>
      <c r="N1" s="42"/>
    </row>
    <row r="2" spans="1:14" ht="14.5" x14ac:dyDescent="0.3">
      <c r="A2" s="262" t="s">
        <v>93</v>
      </c>
      <c r="B2" s="13" t="s">
        <v>94</v>
      </c>
      <c r="C2" s="13" t="s">
        <v>95</v>
      </c>
      <c r="D2" s="38">
        <f>N2</f>
        <v>0.7</v>
      </c>
      <c r="E2" s="16" t="s">
        <v>59</v>
      </c>
      <c r="F2" s="17">
        <v>0.06</v>
      </c>
      <c r="G2" s="18">
        <f>D2/(1+F2)</f>
        <v>0.660377358490566</v>
      </c>
      <c r="H2" s="18">
        <f>D2-G2</f>
        <v>3.9622641509433953E-2</v>
      </c>
      <c r="J2" s="19" t="s">
        <v>123</v>
      </c>
      <c r="L2" s="20">
        <f>Capex清单!J2*6+Capex清单!J4*2+Capex清单!J5*2</f>
        <v>10</v>
      </c>
      <c r="M2" s="43">
        <v>50</v>
      </c>
      <c r="N2" s="44">
        <v>0.7</v>
      </c>
    </row>
    <row r="3" spans="1:14" ht="14.5" x14ac:dyDescent="0.3">
      <c r="A3" s="262"/>
      <c r="B3" s="13" t="s">
        <v>96</v>
      </c>
      <c r="C3" s="13" t="s">
        <v>97</v>
      </c>
      <c r="D3" s="38">
        <f>N3</f>
        <v>3</v>
      </c>
      <c r="E3" s="16" t="s">
        <v>59</v>
      </c>
      <c r="F3" s="17">
        <v>0.06</v>
      </c>
      <c r="G3" s="18">
        <f>D3/(1+F3)</f>
        <v>2.8301886792452828</v>
      </c>
      <c r="H3" s="18">
        <f>D3-G3</f>
        <v>0.16981132075471717</v>
      </c>
      <c r="J3" s="19" t="s">
        <v>124</v>
      </c>
      <c r="L3" s="20"/>
      <c r="M3" s="43"/>
      <c r="N3" s="44">
        <v>3</v>
      </c>
    </row>
    <row r="4" spans="1:14" ht="14.5" x14ac:dyDescent="0.3">
      <c r="A4" s="262"/>
      <c r="B4" s="13" t="s">
        <v>98</v>
      </c>
      <c r="C4" s="13"/>
      <c r="D4" s="38">
        <v>2</v>
      </c>
      <c r="E4" s="16" t="s">
        <v>59</v>
      </c>
      <c r="F4" s="17"/>
      <c r="G4" s="18"/>
      <c r="H4" s="18"/>
      <c r="J4" s="19"/>
      <c r="L4" s="20"/>
      <c r="M4" s="43"/>
      <c r="N4" s="44"/>
    </row>
    <row r="5" spans="1:14" ht="14.5" x14ac:dyDescent="0.3">
      <c r="A5" s="262"/>
      <c r="B5" s="13" t="s">
        <v>99</v>
      </c>
      <c r="C5" s="13" t="s">
        <v>100</v>
      </c>
      <c r="D5" s="38">
        <f>N5</f>
        <v>0.255</v>
      </c>
      <c r="E5" s="16" t="s">
        <v>59</v>
      </c>
      <c r="F5" s="17">
        <v>0.06</v>
      </c>
      <c r="G5" s="18">
        <f t="shared" ref="G5:G13" si="0">D5/(1+F5)</f>
        <v>0.24056603773584906</v>
      </c>
      <c r="H5" s="18">
        <f t="shared" ref="H5:H13" si="1">D5-G5</f>
        <v>1.4433962264150946E-2</v>
      </c>
      <c r="J5" s="19" t="s">
        <v>127</v>
      </c>
      <c r="L5" s="20">
        <v>17</v>
      </c>
      <c r="M5" s="43">
        <v>1.4999999999999999E-2</v>
      </c>
      <c r="N5" s="44">
        <f>L5*M5</f>
        <v>0.255</v>
      </c>
    </row>
    <row r="6" spans="1:14" ht="14.5" x14ac:dyDescent="0.3">
      <c r="A6" s="262"/>
      <c r="B6" s="13" t="s">
        <v>101</v>
      </c>
      <c r="C6" s="13" t="s">
        <v>102</v>
      </c>
      <c r="D6" s="48">
        <v>1</v>
      </c>
      <c r="E6" s="16" t="s">
        <v>59</v>
      </c>
      <c r="F6" s="17">
        <v>0.06</v>
      </c>
      <c r="G6" s="18">
        <f t="shared" si="0"/>
        <v>0.94339622641509424</v>
      </c>
      <c r="H6" s="18">
        <f t="shared" si="1"/>
        <v>5.6603773584905759E-2</v>
      </c>
      <c r="J6" s="19" t="s">
        <v>130</v>
      </c>
      <c r="L6" s="20">
        <v>400</v>
      </c>
      <c r="M6" s="43">
        <v>100</v>
      </c>
      <c r="N6" s="44">
        <f>(3000*Capex清单!J2+400*Opex清单!J4+400*Capex清单!J5)/10000</f>
        <v>0.34</v>
      </c>
    </row>
    <row r="7" spans="1:14" ht="14.5" x14ac:dyDescent="0.3">
      <c r="A7" s="24" t="s">
        <v>67</v>
      </c>
      <c r="B7" s="13" t="s">
        <v>103</v>
      </c>
      <c r="C7" s="13" t="s">
        <v>104</v>
      </c>
      <c r="D7" s="38">
        <v>0</v>
      </c>
      <c r="E7" s="16" t="s">
        <v>59</v>
      </c>
      <c r="F7" s="17">
        <v>0.06</v>
      </c>
      <c r="G7" s="18">
        <f t="shared" si="0"/>
        <v>0</v>
      </c>
      <c r="H7" s="18">
        <f t="shared" si="1"/>
        <v>0</v>
      </c>
      <c r="J7" s="19"/>
      <c r="L7" s="20">
        <v>0</v>
      </c>
      <c r="M7" s="43"/>
      <c r="N7" s="44">
        <f>L7*M7</f>
        <v>0</v>
      </c>
    </row>
    <row r="8" spans="1:14" ht="14.5" x14ac:dyDescent="0.3">
      <c r="A8" s="262" t="s">
        <v>105</v>
      </c>
      <c r="B8" s="13" t="s">
        <v>106</v>
      </c>
      <c r="C8" s="13" t="s">
        <v>104</v>
      </c>
      <c r="D8" s="38">
        <f>N8</f>
        <v>1.048</v>
      </c>
      <c r="E8" s="16" t="s">
        <v>59</v>
      </c>
      <c r="F8" s="17">
        <v>0.06</v>
      </c>
      <c r="G8" s="18">
        <f t="shared" si="0"/>
        <v>0.98867924528301887</v>
      </c>
      <c r="H8" s="18">
        <f t="shared" si="1"/>
        <v>5.9320754716981172E-2</v>
      </c>
      <c r="J8" s="19" t="s">
        <v>342</v>
      </c>
      <c r="L8" s="20">
        <f>262*2</f>
        <v>524</v>
      </c>
      <c r="M8" s="43">
        <v>2E-3</v>
      </c>
      <c r="N8" s="44">
        <f>L8*M8</f>
        <v>1.048</v>
      </c>
    </row>
    <row r="9" spans="1:14" ht="14.5" x14ac:dyDescent="0.3">
      <c r="A9" s="262"/>
      <c r="B9" s="13" t="s">
        <v>107</v>
      </c>
      <c r="C9" s="13" t="s">
        <v>100</v>
      </c>
      <c r="D9" s="38">
        <v>7.3200000000000001E-4</v>
      </c>
      <c r="E9" s="16" t="s">
        <v>59</v>
      </c>
      <c r="F9" s="17">
        <v>0.06</v>
      </c>
      <c r="G9" s="18">
        <f t="shared" si="0"/>
        <v>6.9056603773584905E-4</v>
      </c>
      <c r="H9" s="18">
        <f t="shared" si="1"/>
        <v>4.1433962264150965E-5</v>
      </c>
      <c r="J9" s="19" t="s">
        <v>125</v>
      </c>
      <c r="L9" s="20">
        <v>2E-3</v>
      </c>
      <c r="M9" s="43"/>
      <c r="N9" s="44">
        <f>Capex清单!D8*L9</f>
        <v>3.667999999999999E-2</v>
      </c>
    </row>
    <row r="10" spans="1:14" ht="14.5" x14ac:dyDescent="0.3">
      <c r="A10" s="24" t="s">
        <v>108</v>
      </c>
      <c r="B10" s="13" t="s">
        <v>109</v>
      </c>
      <c r="C10" s="13" t="s">
        <v>110</v>
      </c>
      <c r="D10" s="48">
        <v>2</v>
      </c>
      <c r="E10" s="16" t="s">
        <v>59</v>
      </c>
      <c r="F10" s="17">
        <v>0.06</v>
      </c>
      <c r="G10" s="18">
        <f t="shared" si="0"/>
        <v>1.8867924528301885</v>
      </c>
      <c r="H10" s="18">
        <f t="shared" si="1"/>
        <v>0.11320754716981152</v>
      </c>
      <c r="J10" s="19" t="s">
        <v>129</v>
      </c>
      <c r="K10" s="45"/>
      <c r="L10" s="20">
        <v>1</v>
      </c>
      <c r="M10" s="43">
        <v>0.64859999999999995</v>
      </c>
      <c r="N10" s="44">
        <f>L10*M10</f>
        <v>0.64859999999999995</v>
      </c>
    </row>
    <row r="11" spans="1:14" ht="14.5" x14ac:dyDescent="0.3">
      <c r="A11" s="24" t="s">
        <v>111</v>
      </c>
      <c r="B11" s="13" t="s">
        <v>112</v>
      </c>
      <c r="C11" s="13" t="s">
        <v>113</v>
      </c>
      <c r="D11" s="52">
        <v>0</v>
      </c>
      <c r="E11" s="16" t="s">
        <v>59</v>
      </c>
      <c r="F11" s="17">
        <v>0.06</v>
      </c>
      <c r="G11" s="18">
        <f t="shared" si="0"/>
        <v>0</v>
      </c>
      <c r="H11" s="18">
        <f t="shared" si="1"/>
        <v>0</v>
      </c>
      <c r="J11" s="19" t="s">
        <v>135</v>
      </c>
      <c r="L11" s="20"/>
      <c r="M11" s="43"/>
      <c r="N11" s="44"/>
    </row>
    <row r="12" spans="1:14" ht="14.5" x14ac:dyDescent="0.3">
      <c r="A12" s="24" t="s">
        <v>114</v>
      </c>
      <c r="B12" s="13" t="s">
        <v>115</v>
      </c>
      <c r="C12" s="13" t="s">
        <v>116</v>
      </c>
      <c r="D12" s="38">
        <v>0</v>
      </c>
      <c r="E12" s="16" t="s">
        <v>59</v>
      </c>
      <c r="F12" s="17">
        <v>0.06</v>
      </c>
      <c r="G12" s="18">
        <f t="shared" si="0"/>
        <v>0</v>
      </c>
      <c r="H12" s="18">
        <f t="shared" si="1"/>
        <v>0</v>
      </c>
      <c r="J12" s="19" t="s">
        <v>128</v>
      </c>
      <c r="L12" s="20"/>
      <c r="M12" s="43"/>
      <c r="N12" s="44">
        <v>1</v>
      </c>
    </row>
    <row r="13" spans="1:14" ht="14.5" x14ac:dyDescent="0.3">
      <c r="A13" s="24" t="s">
        <v>117</v>
      </c>
      <c r="B13" s="13" t="s">
        <v>118</v>
      </c>
      <c r="C13" s="13" t="s">
        <v>119</v>
      </c>
      <c r="D13" s="38">
        <f>N13</f>
        <v>5.6994736842105276</v>
      </c>
      <c r="E13" s="16" t="s">
        <v>59</v>
      </c>
      <c r="F13" s="17"/>
      <c r="G13" s="18">
        <f t="shared" si="0"/>
        <v>5.6994736842105276</v>
      </c>
      <c r="H13" s="18">
        <f t="shared" si="1"/>
        <v>0</v>
      </c>
      <c r="J13" s="19" t="s">
        <v>126</v>
      </c>
      <c r="L13" s="20"/>
      <c r="M13" s="43"/>
      <c r="N13" s="44">
        <f>(假设测算!C7*假设测算!C8*L5)/0.95*0.05*J17*350/10000</f>
        <v>5.6994736842105276</v>
      </c>
    </row>
    <row r="14" spans="1:14" ht="15" thickBot="1" x14ac:dyDescent="0.35">
      <c r="A14" s="26" t="s">
        <v>120</v>
      </c>
      <c r="B14" s="39"/>
      <c r="C14" s="39"/>
      <c r="D14" s="40">
        <f>SUM(D2:D13)</f>
        <v>15.703205684210527</v>
      </c>
      <c r="E14" s="29" t="s">
        <v>59</v>
      </c>
      <c r="G14" s="46"/>
      <c r="H14" s="18">
        <f>SUM(H2:H13)</f>
        <v>0.45304143396226465</v>
      </c>
      <c r="J14" s="30"/>
      <c r="L14" s="31"/>
      <c r="M14" s="32"/>
      <c r="N14" s="47"/>
    </row>
    <row r="16" spans="1:14" x14ac:dyDescent="0.3">
      <c r="J16" t="s">
        <v>136</v>
      </c>
    </row>
    <row r="17" spans="10:10" x14ac:dyDescent="0.3">
      <c r="J17" s="50">
        <v>0.91</v>
      </c>
    </row>
  </sheetData>
  <mergeCells count="2">
    <mergeCell ref="A2:A6"/>
    <mergeCell ref="A8:A9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54F3-CFD9-49EB-8BAE-1440D42624F7}">
  <dimension ref="A1:L15"/>
  <sheetViews>
    <sheetView zoomScaleNormal="100" workbookViewId="0">
      <selection activeCell="C8" sqref="C8"/>
    </sheetView>
  </sheetViews>
  <sheetFormatPr defaultRowHeight="14" x14ac:dyDescent="0.3"/>
  <cols>
    <col min="1" max="1" width="12.6640625" customWidth="1"/>
    <col min="2" max="2" width="23.4140625" customWidth="1"/>
    <col min="3" max="3" width="20.9140625" customWidth="1"/>
    <col min="4" max="4" width="13.08203125" bestFit="1" customWidth="1"/>
    <col min="8" max="8" width="32.4140625" customWidth="1"/>
  </cols>
  <sheetData>
    <row r="1" spans="1:12" ht="15" x14ac:dyDescent="0.4">
      <c r="A1" s="5" t="s">
        <v>45</v>
      </c>
      <c r="B1" s="6" t="s">
        <v>46</v>
      </c>
      <c r="C1" s="6" t="s">
        <v>47</v>
      </c>
      <c r="D1" s="7" t="s">
        <v>48</v>
      </c>
      <c r="E1" s="7" t="s">
        <v>49</v>
      </c>
      <c r="H1" s="9" t="s">
        <v>52</v>
      </c>
      <c r="J1" s="10" t="s">
        <v>53</v>
      </c>
      <c r="K1" s="11" t="s">
        <v>54</v>
      </c>
      <c r="L1" s="12" t="s">
        <v>55</v>
      </c>
    </row>
    <row r="2" spans="1:12" ht="15" x14ac:dyDescent="0.4">
      <c r="A2" s="262" t="s">
        <v>56</v>
      </c>
      <c r="B2" s="13" t="s">
        <v>57</v>
      </c>
      <c r="C2" s="14" t="s">
        <v>58</v>
      </c>
      <c r="D2" s="15">
        <f>K2</f>
        <v>50</v>
      </c>
      <c r="E2" s="16" t="s">
        <v>59</v>
      </c>
      <c r="H2" s="19" t="s">
        <v>60</v>
      </c>
      <c r="J2" s="20">
        <v>1</v>
      </c>
      <c r="K2" s="21">
        <v>50</v>
      </c>
      <c r="L2" s="22">
        <f>K2*J2</f>
        <v>50</v>
      </c>
    </row>
    <row r="3" spans="1:12" ht="15" x14ac:dyDescent="0.4">
      <c r="A3" s="262"/>
      <c r="B3" s="13" t="s">
        <v>57</v>
      </c>
      <c r="C3" s="14" t="s">
        <v>61</v>
      </c>
      <c r="D3" s="15">
        <f>L3</f>
        <v>0</v>
      </c>
      <c r="E3" s="16" t="s">
        <v>59</v>
      </c>
      <c r="H3" s="19"/>
      <c r="J3" s="20">
        <v>0</v>
      </c>
      <c r="K3" s="21"/>
      <c r="L3" s="22">
        <f>J3*K3</f>
        <v>0</v>
      </c>
    </row>
    <row r="4" spans="1:12" ht="15" x14ac:dyDescent="0.4">
      <c r="A4" s="262"/>
      <c r="B4" s="13" t="s">
        <v>62</v>
      </c>
      <c r="C4" s="14" t="s">
        <v>63</v>
      </c>
      <c r="D4" s="15">
        <f>L4</f>
        <v>13.6</v>
      </c>
      <c r="E4" s="16" t="s">
        <v>59</v>
      </c>
      <c r="H4" s="19"/>
      <c r="J4" s="20">
        <v>1</v>
      </c>
      <c r="K4" s="21">
        <v>3.4</v>
      </c>
      <c r="L4" s="22">
        <f>K4*4</f>
        <v>13.6</v>
      </c>
    </row>
    <row r="5" spans="1:12" ht="15" x14ac:dyDescent="0.4">
      <c r="A5" s="262"/>
      <c r="B5" s="13" t="s">
        <v>87</v>
      </c>
      <c r="C5" s="14" t="s">
        <v>88</v>
      </c>
      <c r="D5" s="15">
        <f>L5</f>
        <v>9.8000000000000007</v>
      </c>
      <c r="E5" s="16" t="s">
        <v>59</v>
      </c>
      <c r="H5" s="19" t="s">
        <v>89</v>
      </c>
      <c r="J5" s="20">
        <v>1</v>
      </c>
      <c r="K5" s="21">
        <v>9.8000000000000007</v>
      </c>
      <c r="L5" s="22">
        <f>J5*K5</f>
        <v>9.8000000000000007</v>
      </c>
    </row>
    <row r="6" spans="1:12" ht="15" x14ac:dyDescent="0.4">
      <c r="A6" s="262"/>
      <c r="B6" s="13" t="s">
        <v>64</v>
      </c>
      <c r="C6" s="23" t="s">
        <v>65</v>
      </c>
      <c r="D6" s="15">
        <f>L6+15</f>
        <v>44.28</v>
      </c>
      <c r="E6" s="16" t="s">
        <v>59</v>
      </c>
      <c r="H6" s="19" t="s">
        <v>66</v>
      </c>
      <c r="J6" s="20">
        <f>J2*480+J3*240+J4*120+J5*132</f>
        <v>732</v>
      </c>
      <c r="K6" s="21">
        <v>0.4</v>
      </c>
      <c r="L6" s="22">
        <f>J6*K6/10</f>
        <v>29.28</v>
      </c>
    </row>
    <row r="7" spans="1:12" ht="15" x14ac:dyDescent="0.4">
      <c r="A7" s="24" t="s">
        <v>67</v>
      </c>
      <c r="B7" s="246" t="s">
        <v>338</v>
      </c>
      <c r="C7" s="23" t="s">
        <v>339</v>
      </c>
      <c r="D7" s="15">
        <f>1680332/10000</f>
        <v>168.03319999999999</v>
      </c>
      <c r="E7" s="16" t="s">
        <v>68</v>
      </c>
      <c r="H7" s="19" t="s">
        <v>337</v>
      </c>
      <c r="J7" s="20">
        <v>0</v>
      </c>
      <c r="K7" s="21">
        <v>3.25</v>
      </c>
      <c r="L7" s="22">
        <f>J7*K7/10</f>
        <v>0</v>
      </c>
    </row>
    <row r="8" spans="1:12" ht="15" x14ac:dyDescent="0.4">
      <c r="A8" s="262" t="s">
        <v>69</v>
      </c>
      <c r="B8" s="13" t="s">
        <v>70</v>
      </c>
      <c r="C8" s="14" t="s">
        <v>341</v>
      </c>
      <c r="D8" s="15">
        <f>L8</f>
        <v>18.339999999999996</v>
      </c>
      <c r="E8" s="16" t="s">
        <v>59</v>
      </c>
      <c r="H8" s="19" t="s">
        <v>90</v>
      </c>
      <c r="J8" s="20">
        <v>262</v>
      </c>
      <c r="K8" s="21">
        <v>0.7</v>
      </c>
      <c r="L8" s="22">
        <f>J8*K8/10</f>
        <v>18.339999999999996</v>
      </c>
    </row>
    <row r="9" spans="1:12" ht="15" x14ac:dyDescent="0.4">
      <c r="A9" s="262"/>
      <c r="B9" s="23" t="s">
        <v>64</v>
      </c>
      <c r="C9" s="13" t="s">
        <v>72</v>
      </c>
      <c r="D9" s="15">
        <f t="shared" ref="D9" si="0">L9</f>
        <v>6.55</v>
      </c>
      <c r="E9" s="16" t="s">
        <v>59</v>
      </c>
      <c r="H9" s="19" t="s">
        <v>73</v>
      </c>
      <c r="J9" s="20">
        <v>262</v>
      </c>
      <c r="K9" s="21">
        <v>0.25</v>
      </c>
      <c r="L9" s="22">
        <f>J9*K9/10</f>
        <v>6.55</v>
      </c>
    </row>
    <row r="10" spans="1:12" ht="14.5" x14ac:dyDescent="0.3">
      <c r="A10" s="24" t="s">
        <v>74</v>
      </c>
      <c r="B10" s="13" t="s">
        <v>75</v>
      </c>
      <c r="C10" s="13" t="s">
        <v>76</v>
      </c>
      <c r="D10" s="15">
        <v>12.9</v>
      </c>
      <c r="E10" s="16" t="s">
        <v>59</v>
      </c>
      <c r="H10" s="19" t="s">
        <v>91</v>
      </c>
      <c r="I10" s="25"/>
      <c r="J10" s="20">
        <v>1</v>
      </c>
      <c r="K10" s="21">
        <v>0.86950000000000005</v>
      </c>
      <c r="L10" s="22">
        <f>J10*K10</f>
        <v>0.86950000000000005</v>
      </c>
    </row>
    <row r="11" spans="1:12" ht="14.5" x14ac:dyDescent="0.3">
      <c r="A11" s="34" t="s">
        <v>77</v>
      </c>
      <c r="B11" s="13" t="s">
        <v>78</v>
      </c>
      <c r="C11" s="13" t="s">
        <v>79</v>
      </c>
      <c r="D11" s="15">
        <v>0.5</v>
      </c>
      <c r="E11" s="16" t="s">
        <v>59</v>
      </c>
      <c r="H11" s="19"/>
      <c r="J11" s="20">
        <v>1</v>
      </c>
      <c r="K11" s="21">
        <v>1.5</v>
      </c>
      <c r="L11" s="22">
        <f>J11*K11</f>
        <v>1.5</v>
      </c>
    </row>
    <row r="12" spans="1:12" ht="14.5" x14ac:dyDescent="0.3">
      <c r="A12" s="263" t="s">
        <v>80</v>
      </c>
      <c r="B12" s="13" t="s">
        <v>81</v>
      </c>
      <c r="C12" s="13" t="s">
        <v>82</v>
      </c>
      <c r="D12" s="15">
        <f>L12</f>
        <v>2</v>
      </c>
      <c r="E12" s="16" t="s">
        <v>59</v>
      </c>
      <c r="H12" s="19" t="s">
        <v>83</v>
      </c>
      <c r="J12" s="20">
        <v>1</v>
      </c>
      <c r="K12" s="21">
        <v>2</v>
      </c>
      <c r="L12" s="22">
        <f>J12*K12</f>
        <v>2</v>
      </c>
    </row>
    <row r="13" spans="1:12" ht="14.5" x14ac:dyDescent="0.3">
      <c r="A13" s="264"/>
      <c r="B13" s="13" t="s">
        <v>84</v>
      </c>
      <c r="C13" s="13" t="s">
        <v>85</v>
      </c>
      <c r="D13" s="15">
        <f>L13</f>
        <v>10</v>
      </c>
      <c r="E13" s="16" t="s">
        <v>59</v>
      </c>
      <c r="H13" s="19" t="s">
        <v>83</v>
      </c>
      <c r="J13" s="20">
        <v>1</v>
      </c>
      <c r="K13" s="21">
        <v>10</v>
      </c>
      <c r="L13" s="22">
        <f>J13*K13</f>
        <v>10</v>
      </c>
    </row>
    <row r="14" spans="1:12" ht="14.5" x14ac:dyDescent="0.3">
      <c r="A14" s="242"/>
      <c r="B14" s="245" t="s">
        <v>340</v>
      </c>
      <c r="C14" s="243"/>
      <c r="D14" s="244">
        <v>30</v>
      </c>
      <c r="E14" s="16" t="s">
        <v>59</v>
      </c>
      <c r="H14" s="19"/>
      <c r="J14" s="20"/>
      <c r="K14" s="21"/>
      <c r="L14" s="22"/>
    </row>
    <row r="15" spans="1:12" ht="15.5" thickBot="1" x14ac:dyDescent="0.45">
      <c r="A15" s="26" t="s">
        <v>86</v>
      </c>
      <c r="B15" s="27"/>
      <c r="C15" s="27"/>
      <c r="D15" s="28">
        <f>SUM(D2:D13)</f>
        <v>336.00319999999999</v>
      </c>
      <c r="E15" s="29" t="s">
        <v>59</v>
      </c>
      <c r="F15" s="18"/>
      <c r="H15" s="30"/>
      <c r="J15" s="31"/>
      <c r="K15" s="32"/>
      <c r="L15" s="33"/>
    </row>
  </sheetData>
  <mergeCells count="3">
    <mergeCell ref="A2:A6"/>
    <mergeCell ref="A8:A9"/>
    <mergeCell ref="A12:A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假设测算</vt:lpstr>
      <vt:lpstr>输入</vt:lpstr>
      <vt:lpstr>储能SOH</vt:lpstr>
      <vt:lpstr>利润表</vt:lpstr>
      <vt:lpstr>税务计算</vt:lpstr>
      <vt:lpstr>现金流量表</vt:lpstr>
      <vt:lpstr>Opex清单</vt:lpstr>
      <vt:lpstr>Capex清单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Yanli Li</dc:creator>
  <cp:lastModifiedBy>Weichen Yao(Outsourcing)</cp:lastModifiedBy>
  <dcterms:created xsi:type="dcterms:W3CDTF">2026-03-02T02:23:40Z</dcterms:created>
  <dcterms:modified xsi:type="dcterms:W3CDTF">2026-03-29T18:20:22Z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3eb61a-fd83-4407-9f6a-71e8749d46c1_Enabled">
    <vt:lpwstr>true</vt:lpwstr>
  </property>
  <property fmtid="{D5CDD505-2E9C-101B-9397-08002B2CF9AE}" pid="3" name="MSIP_Label_b23eb61a-fd83-4407-9f6a-71e8749d46c1_SetDate">
    <vt:lpwstr>2026-03-02T05:07:24Z</vt:lpwstr>
  </property>
  <property fmtid="{D5CDD505-2E9C-101B-9397-08002B2CF9AE}" pid="4" name="MSIP_Label_b23eb61a-fd83-4407-9f6a-71e8749d46c1_Method">
    <vt:lpwstr>Standard</vt:lpwstr>
  </property>
  <property fmtid="{D5CDD505-2E9C-101B-9397-08002B2CF9AE}" pid="5" name="MSIP_Label_b23eb61a-fd83-4407-9f6a-71e8749d46c1_Name">
    <vt:lpwstr>通用</vt:lpwstr>
  </property>
  <property fmtid="{D5CDD505-2E9C-101B-9397-08002B2CF9AE}" pid="6" name="MSIP_Label_b23eb61a-fd83-4407-9f6a-71e8749d46c1_SiteId">
    <vt:lpwstr>2151c7d1-a2f9-4fdb-9325-4d1ad1633565</vt:lpwstr>
  </property>
  <property fmtid="{D5CDD505-2E9C-101B-9397-08002B2CF9AE}" pid="7" name="MSIP_Label_b23eb61a-fd83-4407-9f6a-71e8749d46c1_ActionId">
    <vt:lpwstr>11dac220-ced9-4086-867d-3f1693fe7fbc</vt:lpwstr>
  </property>
  <property fmtid="{D5CDD505-2E9C-101B-9397-08002B2CF9AE}" pid="8" name="MSIP_Label_b23eb61a-fd83-4407-9f6a-71e8749d46c1_ContentBits">
    <vt:lpwstr>0</vt:lpwstr>
  </property>
  <property fmtid="{D5CDD505-2E9C-101B-9397-08002B2CF9AE}" pid="9" name="MSIP_Label_b23eb61a-fd83-4407-9f6a-71e8749d46c1_Tag">
    <vt:lpwstr>10, 3, 0, 1</vt:lpwstr>
  </property>
</Properties>
</file>